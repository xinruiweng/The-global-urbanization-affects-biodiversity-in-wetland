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all_human_relevant_full_info" sheetId="1" r:id="rId1"/>
    <sheet name="无季节重复" sheetId="3" r:id="rId2"/>
    <sheet name="Sheet2" sheetId="6" r:id="rId3"/>
    <sheet name="筛选分析-taxa_grouped (计数)" sheetId="7" r:id="rId4"/>
  </sheets>
  <definedNames>
    <definedName name="_xlnm._FilterDatabase" localSheetId="2" hidden="1">Sheet2!$F$1:$F$55</definedName>
    <definedName name="_xlnm._FilterDatabase" localSheetId="0" hidden="1">all_human_relevant_full_info!$W$1:$W$203</definedName>
    <definedName name="_xlnm._FilterDatabase" localSheetId="1" hidden="1">无季节重复!$AZ$1:$AZ$176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<sst xmlns="http://schemas.openxmlformats.org/spreadsheetml/2006/main" count="9915" uniqueCount="1038">
  <si>
    <t>id</t>
  </si>
  <si>
    <t>Title</t>
  </si>
  <si>
    <t>Study_ID</t>
  </si>
  <si>
    <t>Plot_ID</t>
  </si>
  <si>
    <t>Abstract</t>
  </si>
  <si>
    <t>Publication.Year</t>
  </si>
  <si>
    <t>DOI.Link</t>
  </si>
  <si>
    <t>Country</t>
  </si>
  <si>
    <t>latitude</t>
  </si>
  <si>
    <t>longitude</t>
  </si>
  <si>
    <t>koppen_climate_code</t>
  </si>
  <si>
    <t>koppen_climate</t>
  </si>
  <si>
    <t>koppen_group</t>
  </si>
  <si>
    <t>income_region</t>
  </si>
  <si>
    <t>SDG_region</t>
  </si>
  <si>
    <t>wetland_type</t>
  </si>
  <si>
    <t>wetland_type_grouped</t>
  </si>
  <si>
    <t>wet_type_gro_old2</t>
  </si>
  <si>
    <t>wetl_ty_gr_old</t>
  </si>
  <si>
    <t>inland_marineorcostal_humanmade</t>
  </si>
  <si>
    <t>ANI_PLT_MICRO</t>
  </si>
  <si>
    <t>taxa</t>
  </si>
  <si>
    <t>non-native data</t>
  </si>
  <si>
    <t>taxa_grouped</t>
  </si>
  <si>
    <t>taxa_gro_old</t>
  </si>
  <si>
    <t>taxa_gr_old</t>
  </si>
  <si>
    <t>scale_largest_distance_km</t>
  </si>
  <si>
    <t>scale_grouped</t>
  </si>
  <si>
    <t>scale</t>
  </si>
  <si>
    <r>
      <rPr>
        <sz val="11"/>
        <color theme="1"/>
        <rFont val="等线"/>
        <charset val="134"/>
        <scheme val="minor"/>
      </rPr>
      <t>taxa_richness_mean_</t>
    </r>
    <r>
      <rPr>
        <b/>
        <sz val="11"/>
        <color theme="1"/>
        <rFont val="等线"/>
        <charset val="134"/>
        <scheme val="minor"/>
      </rPr>
      <t>control</t>
    </r>
  </si>
  <si>
    <r>
      <rPr>
        <sz val="11"/>
        <color theme="1"/>
        <rFont val="等线"/>
        <charset val="134"/>
        <scheme val="minor"/>
      </rPr>
      <t>taxa_richness_n_</t>
    </r>
    <r>
      <rPr>
        <b/>
        <sz val="11"/>
        <color theme="1"/>
        <rFont val="等线"/>
        <charset val="134"/>
        <scheme val="minor"/>
      </rPr>
      <t>control</t>
    </r>
  </si>
  <si>
    <r>
      <rPr>
        <sz val="11"/>
        <color theme="1"/>
        <rFont val="等线"/>
        <charset val="134"/>
        <scheme val="minor"/>
      </rPr>
      <t>taxa_richness_sd_</t>
    </r>
    <r>
      <rPr>
        <b/>
        <sz val="11"/>
        <color theme="1"/>
        <rFont val="等线"/>
        <charset val="134"/>
        <scheme val="minor"/>
      </rPr>
      <t>control</t>
    </r>
  </si>
  <si>
    <r>
      <rPr>
        <sz val="11"/>
        <color theme="1"/>
        <rFont val="等线"/>
        <charset val="134"/>
        <scheme val="minor"/>
      </rPr>
      <t>taxa_richness_mean_</t>
    </r>
    <r>
      <rPr>
        <b/>
        <sz val="11"/>
        <color theme="1"/>
        <rFont val="等线"/>
        <charset val="134"/>
        <scheme val="minor"/>
      </rPr>
      <t>urbanization</t>
    </r>
  </si>
  <si>
    <r>
      <rPr>
        <sz val="11"/>
        <color theme="1"/>
        <rFont val="等线"/>
        <charset val="134"/>
        <scheme val="minor"/>
      </rPr>
      <t>taxa_richness_n_</t>
    </r>
    <r>
      <rPr>
        <b/>
        <sz val="11"/>
        <color theme="1"/>
        <rFont val="等线"/>
        <charset val="134"/>
        <scheme val="minor"/>
      </rPr>
      <t>urbanization</t>
    </r>
  </si>
  <si>
    <r>
      <rPr>
        <sz val="11"/>
        <color theme="1"/>
        <rFont val="等线"/>
        <charset val="134"/>
        <scheme val="minor"/>
      </rPr>
      <t>taxa_richness_sd_</t>
    </r>
    <r>
      <rPr>
        <b/>
        <sz val="11"/>
        <color theme="1"/>
        <rFont val="等线"/>
        <charset val="134"/>
        <scheme val="minor"/>
      </rPr>
      <t>urbanization</t>
    </r>
  </si>
  <si>
    <t>diversity_metric</t>
  </si>
  <si>
    <t>Diversity_mean_control</t>
  </si>
  <si>
    <t>Diversity_n_control</t>
  </si>
  <si>
    <t>Diversity_sd_control</t>
  </si>
  <si>
    <t>Diversity_mean_urbanization</t>
  </si>
  <si>
    <t>Diversity_n_urbanization</t>
  </si>
  <si>
    <t>Diversity_sd_urbanization</t>
  </si>
  <si>
    <t>NO_</t>
  </si>
  <si>
    <t>control</t>
  </si>
  <si>
    <t>urbanization</t>
  </si>
  <si>
    <t>Statistic_method</t>
  </si>
  <si>
    <t>mean_d_urbanization</t>
  </si>
  <si>
    <t>n_urbanization</t>
  </si>
  <si>
    <t>SD_urbanization</t>
  </si>
  <si>
    <t>mean_d_control</t>
  </si>
  <si>
    <t>n_control</t>
  </si>
  <si>
    <t>SD_control</t>
  </si>
  <si>
    <t>mean_d_between</t>
  </si>
  <si>
    <t>n_between</t>
  </si>
  <si>
    <t>SD_between</t>
  </si>
  <si>
    <t>composition_type</t>
  </si>
  <si>
    <t>season_type</t>
  </si>
  <si>
    <t>discussion</t>
  </si>
  <si>
    <t>homo_type</t>
  </si>
  <si>
    <t>Hotspots</t>
  </si>
  <si>
    <t>Hotspots_status</t>
  </si>
  <si>
    <t>climate_zone</t>
  </si>
  <si>
    <t>type_of_control_nature_agri</t>
  </si>
  <si>
    <t>Response of winter bird communities to environmental variables in riparian zones of cold region: a case study in Shenyang, Northeast of China</t>
  </si>
  <si>
    <t>R9231</t>
  </si>
  <si>
    <t>R9231A</t>
  </si>
  <si>
    <t>Introduction Landscape changes resulting from urbanization have profound impacts on biodiversity, threatening the habitat of resident species. Birds are valuable research subjects because of their diversity, wide distribution, and particular sensitivity to environmental changes. Therefore, exploring the relationships between winter birds and environmental variables is essential for designing and managing green spaces during winter. However, the responses of the winter bird communities to environmental variables in cold regions remain unclear.Methods In this study, we investigated the winter bird community in the riparian zone of the Hun River in Shenyang. We selected 11 environmental variables of the riparian zone and conducted a principal component analysis to extract seven new components that represent environmental changes. Subsequently, we performed correlation and redundancy analyses on bird diversity indicators and environmental variables.Results The results revealed that bird richness, Simpson's diversity index and Shannon diversity index, was greater in the urban expansion area than in the urban core area. However, abundance was lower in the urban expansion area. Disturbance and built-up components were significantly associated with overall bird diversity, while disturbance, riparian, open vegetation, and suburban vegetation components were significantly linked to the diversity of resident and migratory birds. Birds in the urban expansion area exhibited greater sensitivity to environmental variables compared to those in the urban core area.Discussion This study recommend focusing on seasonal influence on birds' resource use and urbanization level and bird species composition in riparian zones.</t>
  </si>
  <si>
    <t>http://dx.doi.org/10.3389/fevo.2024.1479231</t>
  </si>
  <si>
    <t>China</t>
  </si>
  <si>
    <t>Dwa</t>
  </si>
  <si>
    <t>Upper-middle-income</t>
  </si>
  <si>
    <t>Eastern and South-Eastern Asia</t>
  </si>
  <si>
    <t>river</t>
  </si>
  <si>
    <t>river only</t>
  </si>
  <si>
    <t>inland</t>
  </si>
  <si>
    <t>animal</t>
  </si>
  <si>
    <t>bird</t>
  </si>
  <si>
    <t>yes</t>
  </si>
  <si>
    <t>bird only</t>
  </si>
  <si>
    <t>10＜s≤50</t>
  </si>
  <si>
    <t>local</t>
  </si>
  <si>
    <t>Shannon</t>
  </si>
  <si>
    <t>No</t>
  </si>
  <si>
    <t>Peri-urban</t>
  </si>
  <si>
    <t>Urbanization alters the diversity, assembly, and complexity in microbial communities of a subtropical river system</t>
  </si>
  <si>
    <t>U05-5</t>
  </si>
  <si>
    <t>U05-5A</t>
  </si>
  <si>
    <t>Urbanization-induced environmental changes have become a major threat to river systems. However, little is known about how urbanization affects aquatic microbial communities. Here, the results highlight that nitrogen compounds can affect the microbial community composition. Proteobacteria and Bacteroidetes, as well as Cyanobacteria, were identified as the dominant phyla in urbanized rivers. Both the total diversity and total species richness of generalists were significantly higher than those of specialists, whereas the beta diversity of generalists was significantly higher in low-level urbanization sites (LUSs) than in high-level urbanization sites (HUSs). For generalists, heterogeneous selection is the most important process for the assembly of HUSs in winter, but dispersal limitation, drift, and other undominated processes are the main assembly processes in LUSs, whether in summer or winter. Similarly, stochastic processes were the main assembly of specialists in LUSs and HUSs, whether in summer or winter. A more complex network of generalists and specialists was found in the summer in HUSs and winter in LUSs, whereas a significantly stronger, more complex and robust co-occurrence network was found in the LUSs than in the HUSs. Overall, these findings suggest that specialists and nitrogen are key factors shaping the homogenization of microbial communities induced by urbanization.</t>
  </si>
  <si>
    <t>http://dx.doi.org/10.1007/s10750-025-05805-5</t>
  </si>
  <si>
    <t>Cfa</t>
  </si>
  <si>
    <t>MICRO</t>
  </si>
  <si>
    <t>bacterial</t>
  </si>
  <si>
    <t>bacteria</t>
  </si>
  <si>
    <t>s＞200</t>
  </si>
  <si>
    <t>regional</t>
  </si>
  <si>
    <t>LUS (QJ + WBH)</t>
  </si>
  <si>
    <t>HUS (THX)</t>
  </si>
  <si>
    <t>PCoA</t>
  </si>
  <si>
    <t>species composition</t>
  </si>
  <si>
    <t>summer</t>
  </si>
  <si>
    <t>all</t>
  </si>
  <si>
    <t>Bray-Curtis</t>
  </si>
  <si>
    <t>winter</t>
  </si>
  <si>
    <t>subtropic</t>
  </si>
  <si>
    <t>sepcialist</t>
  </si>
  <si>
    <t>generalist</t>
  </si>
  <si>
    <t>Characterisation of coastal reef fish assemblages across an estuarine-urbanisation gradient using underwater visual census and environmental DNA metabarcoding</t>
  </si>
  <si>
    <t>C2938</t>
  </si>
  <si>
    <t>C2938A</t>
  </si>
  <si>
    <t>The ongoing urbanisation of coastlines around the globe greatly impacts biodiversity, including coastal marine fishes. In many places, baseline data on fish communities are inadequate for understanding and managing the ecological impacts of this urbanisation. Here, we document spatiotemporal patterns in fish diversity (at genus level) across an estuarine gradient around Hong Kong, a highly urbanised coastal megacity bordering the estuary of the Pearl River, the second largest river in the People's Republic of China. We combined underwater visual census (UVC) with eDNA metabarcoding (eDNA) to overcome challenges associated with the high turbidity of Hong Kong's aquatic environment that limits the capacity for visual observations. Similar to previous studies, UVC and eDNA captured different components of the fish community, sharing only 36.5 % of fish genera in common. Nevertheless, we recorded 17 % of the known fish diversity and provided a comprehensive picture of patterns in fish diversity across the gradient, despite limited sampling effort. Visual estimates of fish generic richness were reduced by 1.6- to 3-fold under the highly turbid estuarine conditions found around Lantau compared to other regions. However, there were only moderate changes in the fish community regionally overall. Seasonal variations in fish generic richness and assemblage structure were observed using both approaches, taken to reflect changes in fish behaviour, physiology, and naturally occurring events (i.e., spawning and recruitment) between seasons. A notable, consistent reduction in fish richness from eDNA in the semienclosed Port Shelter might reflect limited exchange of water and genetic materials. Eleven species not previously reported from Hong Kong were detected. The potential new records, together with other regionally understudied species of ecological and economic value, highlight the need for more comprehensive biodiversity baselines and monitoring to inform marine resource management plans that more effectively safeguard the region's coastal marine biodiversity.</t>
  </si>
  <si>
    <t>http://dx.doi.org/10.1016/j.ecolind.2024.112938</t>
  </si>
  <si>
    <t>Cwa</t>
  </si>
  <si>
    <t>costal</t>
  </si>
  <si>
    <t>coastal wetland</t>
  </si>
  <si>
    <t>other costal wetland</t>
  </si>
  <si>
    <t>costal wetland</t>
  </si>
  <si>
    <t>marineorcostal</t>
  </si>
  <si>
    <t>fish</t>
  </si>
  <si>
    <t>fish only</t>
  </si>
  <si>
    <t>50＜s≤100</t>
  </si>
  <si>
    <t>Lantau</t>
  </si>
  <si>
    <t>N-SK</t>
  </si>
  <si>
    <t>NMDS</t>
  </si>
  <si>
    <t>wet</t>
  </si>
  <si>
    <t>eDNA</t>
  </si>
  <si>
    <t>Indo-Burma</t>
  </si>
  <si>
    <t>Yes</t>
  </si>
  <si>
    <t>Semi-natural vegetation with moderate impact</t>
  </si>
  <si>
    <t>UVC</t>
  </si>
  <si>
    <t>dry</t>
  </si>
  <si>
    <t>Spatio-Temporal Dynamics of Fish Community and Influencing Factors in an Urban River (Haihe River), China</t>
  </si>
  <si>
    <t>S0231</t>
  </si>
  <si>
    <t>S0231A</t>
  </si>
  <si>
    <t>Urbanization significantly impacts river ecosystems, altering fish community structure and dynamics and posing challenges to the sustainable management of these vital resources. In the heavily urbanized Haihe River in China, understanding the spatial and seasonal variations of fish communities and the environmental factors influencing them is crucial for effective conservation and sustainable management. This study investigated fish communities and environmental variables at ten sites along an urbanization gradient in the upstream reach of the Haihe River over four seasons in 2023. A total of 6710 individual fishes representing 30 species were collected. The results showed that the most urbanized section exhibited higher species diversity but was dominated by tolerant, omnivorous species with similar functional traits, indicating functional homogenization. In contrast, less urbanized sections displayed greater seasonal fluctuations and supported species with specialized traits. Key environmental factors influencing fish community dynamics included nitrogen levels, water temperature, dissolved oxygen, and the abundance of the submerged macrophyte Potamogeton crispus. These factors varied spatially and seasonally, mediating the effects of urbanization on fish communities. The findings highlight the importance of environmental factors in shaping fish community dynamics in urban rivers and underscore the need for integrated management strategies that consider both anthropogenic impacts and natural influences to conserve fish diversity, river maintain ecosystem health and ensure long-term sustainability. Sustainable management practices that balance development with environmental protection are vital for preserving ecological integrity and enhancing the resilience of urban river systems to challenges such as urbanization.</t>
  </si>
  <si>
    <t>http://dx.doi.org/10.3390/su17010231</t>
  </si>
  <si>
    <t>spring</t>
  </si>
  <si>
    <t>有function</t>
  </si>
  <si>
    <t>Intensively managed non-urban landscapes</t>
  </si>
  <si>
    <t>autumn</t>
  </si>
  <si>
    <t>winter这个季节最高城市化的多样性高于最低城市化的</t>
  </si>
  <si>
    <t>Urban land use homogenizes fish assemblages across mesohabitats in headwater streams</t>
  </si>
  <si>
    <t>U62-6</t>
  </si>
  <si>
    <t>U62-6A</t>
  </si>
  <si>
    <t>Anthropogenic land use profoundly affects stream environmental conditions and fish assemblages. However, significant knowledge gaps remain regarding how land use influences fish species composition across different mesohabitats. To address this, we sampled riffles, runs, and pools in rural and urban streams, analyzing how land-use types shape environmental conditions, species composition, and the distribution of fish body shapes across mesohabitats. We hypothesized that urban streams would exhibit degraded environmental conditions, reduced fish diversity, and homogenized species composition and body shape distribution across mesohabitats. Our findings confirmed that urban streams had more degraded conditions and lower fish diversity. Additionally, fish body shape distribution and species composition were homogenized across mesohabitats in urban streams. These results highlight the need for stream management and restoration strategies, emphasizing that diverse mesohabitats alone may not counteract the homogenizing effects of urbanization on fish assemblages.</t>
  </si>
  <si>
    <t>http://dx.doi.org/10.1007/s00027-025-01162-6</t>
  </si>
  <si>
    <t>Brazil</t>
  </si>
  <si>
    <t>Latin America and the Caribbean</t>
  </si>
  <si>
    <t>stream</t>
  </si>
  <si>
    <t>stream only</t>
  </si>
  <si>
    <t>Rural</t>
  </si>
  <si>
    <t>Urban</t>
  </si>
  <si>
    <t>riffles</t>
  </si>
  <si>
    <t>riffles静水比动水的生物多样性高静水比动水的生物多样性高</t>
  </si>
  <si>
    <t>Atlantic Forest</t>
  </si>
  <si>
    <t>U62-6B</t>
  </si>
  <si>
    <t>runs</t>
  </si>
  <si>
    <t>U62-6C</t>
  </si>
  <si>
    <t>pools</t>
  </si>
  <si>
    <t>Amplified impacts of human activities: Non-linear responses of riverine microbial communities to distribution of land use</t>
  </si>
  <si>
    <t>A3937</t>
  </si>
  <si>
    <t>A3937A</t>
  </si>
  <si>
    <t>Rapid global urbanization poses considerable ecological risks to freshwater systems, notably leading to substantial reductions in microbial communities. To assess the impacts of human activities on these communities, we applied the high-throughput amplicon DNA sequencing to examine spatial variations in riverine microbial communities within an urbanized watershed. Coupled with the Geographical Detector Model, the effects of the land use were identified across the watershed. Results show that microbial communities were closely linked to the human-impacted land use patterns. The upstream region, dominated by forest cover (71%), exhibited the highest microbial population (3384 OTUs), whereas the urbanized downstream outlet (91% urban land) showed the lowest microbial population (471 OTUs). Additionally, the spatial distribution of the human-impacted land use appears to abruptly alter microbial pathways along the river. The spatial threshold effect of human-impacted land use is indicated by a Moran's I value exceeding 0.80. Notably, a 300-m buffer zone around different land uses seems to significantly influenced sediment microbial communities. Besides, the influence of land use on microbial communities is intensified by spatial drivers. For instance, agricultural land use was found to impact riverine Parcubacteria communities, with factor detector values increasing by over 30% in 400-500 m buffer zones. These findings provide new insights into the complex relationship between human activity and riverine microbial communities, highlighting important implications for ecosystem management in rapidly urbanization regions.</t>
  </si>
  <si>
    <t>http://dx.doi.org/10.1016/j.jenvman.2024.123937</t>
  </si>
  <si>
    <t>Sediment microbial communities</t>
  </si>
  <si>
    <t>Natural vegetation with minimal human impact</t>
  </si>
  <si>
    <t>Macroinvertebrate functional traits differed with land use practices at Patagonian streams</t>
  </si>
  <si>
    <t>M29-z</t>
  </si>
  <si>
    <t>M29-zA</t>
  </si>
  <si>
    <t>The analysis of functional trait composition in aquatic macroinvertebrate communities is a valuable tool for assessing the impacts of environmental changes on fluvial ecosystems. We investigated Patagonian watercourses subjected to different land use practices (natural, agricultural, and urban) and predicted that disturbances would decrease trait diversity while favoring certain trait modalities over others. RLQ and fourth corner analysis were utilized to explore potential relationships between species, traits, and environmental gradients. Differences in macroinvertebrate taxonomic and functional diversity metrics among land uses was also tested. Our results showed that land use had a significant impact on macroinvertebrate communities, with water pollution and riparian condition being the most important factors shaping their functional structure. The RLQ ordination grouped sites according to a disturbance gradient and revealed that traits positively associated with urbanization included deposit feeding, aquatic reproductive stage, non-flyer dispersion mode, cylindrical form, low body armoring, and adhesive secretions as adaptation to the flow. In contrast, natural sites favored respiration through gills, streamlined body, low flexibility, moderate body armoring, crawlers, and species with terrestrial reproductive stage, among others. The agricultural sites displayed moderate disturbance, and no specific trait modalities were associated with this particular land use. Functional diversity metrics mirrored the patterns observed in taxonomic diversity indexes, but only functional evenness showed the expected decline with increased disturbance. The trait-based approach complemented traditional methods for assessing land use impacts, providing insights into the mechanisms by which environmental stressors affect macroinvertebrates. This approach has emerged as a valuable tool for river management and land use policy.</t>
  </si>
  <si>
    <t>http://dx.doi.org/10.1007/s00027-024-01129-z</t>
  </si>
  <si>
    <t>Argentina/Chile</t>
  </si>
  <si>
    <t>Csb</t>
  </si>
  <si>
    <t>macroinvertebrate</t>
  </si>
  <si>
    <t>macroinvertebrate only</t>
  </si>
  <si>
    <t>100＜s≤200</t>
  </si>
  <si>
    <t>Species richness patterns and community structure of land snail communities along an urban-rural gradient in river floodplains</t>
  </si>
  <si>
    <t>S01-1</t>
  </si>
  <si>
    <t>S01-1A</t>
  </si>
  <si>
    <t>Urbanisation is widely considered as having a large impact on most native species. However, the species response to urbanisation varies among taxonomic groups, and its generalisation might lead to contradictory or incorrect management decisions in urban planning. Land snails, as an understudied group in this sense, are good subjects to study the impact of urbanisation due to their low dispersal capabilities and mobility. The study aimed to determine how land snail diversity patterns and community structure are influenced by urbanisation through an urban-to-rural gradient. A total of 59 terrestrial gastropod species and more than 4600 individuals were recorded at 24 alluvial sites distributed along an urban-to-rural gradient in three Slovak cities (Bratislava, Zvolen and Presov). Most species belonged to euryecious, hygrophilous and forest specialist ecological groups; seven species were non-native to Slovakia. The results clearly highlight the negative effect of densely built areas on land snail community structure, since the proportion of indigenous and specialist species decreased progressively towards urban sites. The highest mean number of species was found in suburban zones and the lowest in urban zones, suggesting that most species favour intermediate levels of urbanisation. Some species (e.g. Arion vulgaris) were evenly distributed along the urbanisation gradient, supporting the importance of river floodplains as bio-corridors for the dispersal of gastropods.</t>
  </si>
  <si>
    <t>http://dx.doi.org/10.1007/s11252-023-01501-1</t>
  </si>
  <si>
    <t>Slovakia</t>
  </si>
  <si>
    <t>Dfb</t>
  </si>
  <si>
    <t>High-income</t>
  </si>
  <si>
    <t>Europe and Northern America</t>
  </si>
  <si>
    <t>land snail</t>
  </si>
  <si>
    <t>suburban多样性最高
native (indigenous)城市最少，specialis (特有物种)城市最少</t>
  </si>
  <si>
    <t>Interplay of Natural and Anthropogenic Factors on Plant Diversity at the Aquatic-Terrestrial Interface of Yuhangtang River</t>
  </si>
  <si>
    <t>I78-5</t>
  </si>
  <si>
    <t>I78-5A</t>
  </si>
  <si>
    <t>The acceleration of urbanization significantly impacts water quality and plant diversity in urban rivers. Understanding the interactions between natural factors and human activities is crucial for sustainable urban planning and ecological conservation. This study investigated the effects of land use, water quality indices (WQIs), and relevant variables on plant diversity in the land-water interface zone of the Yuhangtang River during urbanization. By elucidating these interactions, the study aims to inform land-use policies and water management practices that can enhance plant diversity and ecological health in urban rivers. Field surveys, water quality assessments, and remote sensing (RS) analyses were conducted. Plant diversity was quantified using a variety of indices. Ridge regression and variance analysis were employed to investigate the relationships between environmental variables and plant diversity. Significant correlations were found between WQIs (nitrate levels and conductivity) and plant diversity indices. Higher water conductivity and optimal distances from the water enhance plant diversity in the aquatic-terrestrial interface. Urban expansion was found to be linked to higher nitrate levels and lower plant diversity, with built-up areas negatively impacting diversity within 50 m and 100 m buffer zones. The inter-relationship between environmental dynamics and anthropogenic activities was revealed, highlighting the significant correlations between natural and anthropogenic factors and plant diversity. Urbanization significantly affects plant biodiversity in riparian zones by altering water quality. Sustainable urban planning and conservation strategies are essential to mitigate these impacts.</t>
  </si>
  <si>
    <t>http://dx.doi.org/10.1007/s13157-024-01878-5</t>
  </si>
  <si>
    <t>plant</t>
  </si>
  <si>
    <t>s≤10</t>
  </si>
  <si>
    <t>temperate</t>
  </si>
  <si>
    <t>Urbanization reduces fish taxonomic and functional diversity while increases phylogenetic diversity in subtropical rivers</t>
  </si>
  <si>
    <t>U8178</t>
  </si>
  <si>
    <t>U8178A</t>
  </si>
  <si>
    <t>Urbanization is considered as a major cause of widespread biodiversity loss in freshwater ecosystems. However, multidimensional fish diversity patterns driven by urbanization in subtropical rivers are still unclear. We studied fish taxonomic, functional, and phylogenetic diversity in rivers under a gradient of watershed urbanization (Maozhouhe, Guanlanhe and Shenzhenhe rivers are in urbanized watersheds while Pingshanhe and Dapengwan rivers are in forested watersheds) in Shenzhen, a megacity with rapid urbanization in south China. Fish as-semblages showed significant differences between the forested and urbanized watersheds in both the wet and dry seasons. Rivers in the forest watersheds showed significantly higher taxonomic and functional but lower phylogenetic diversity patterns. Rivers in the urbanized watersheds were largely occupied by non-native species. Overall, there was a distinct difference in river fish assemblages between forested and urbanized watersheds, and urbanization largely affected multidimensional fish diversity. These results will help us to take more effective conservation and restoration measures, and provide an essential reference for ecological management and sus-tainability of urban rivers.</t>
  </si>
  <si>
    <t>http://dx.doi.org/10.1016/j.scitotenv.2023.168178</t>
  </si>
  <si>
    <t>forested (PSH, DPW)</t>
  </si>
  <si>
    <t>urbanized (MZH, GLH, SZH)</t>
  </si>
  <si>
    <t>dry season native 城市化的最少</t>
  </si>
  <si>
    <t>wet season native 城市化的最少</t>
  </si>
  <si>
    <t>Effects of urbanization-related disturbances on macroinvertebrate communities in a Patagonian river system: insights from a functional approach</t>
  </si>
  <si>
    <t>E40-2</t>
  </si>
  <si>
    <t>E40-2A</t>
  </si>
  <si>
    <t>The expansion of urban areas has led to land-use changes that affect aquatic biodiversity and ecosystem processes through several ways, such as increased runoff, water pollution, habitat homogenization, and disturbance of the natural flow. It is well known that urbanization induces profound changes in freshwater macroinvertebrate communities, but relatively few studies have approached this topic using trait-based methods. This severely limits our ability to monitor and predict potential alterations of ecosystem processes. We here provide empirical evidence about the effects of urbanization-related changes on the trait composition and functional diversity of freshwater macroinvertebrates from Patagonia (Argentina). Macroinvertebrate sampling and environmental characterization were carried out in 13 study sites distributed across three water courses in the Futaleuf &amp; uacute; river basin. We found changes in environmental conditions over the urban impact gradient, in turn accompanied by variation in functional diversity and trait composition of aquatic macroinvertebrates. Specifically, we detected lower functional diversity in urban and post-urban reaches, mainly attributed to shifts in the distribution of taxa within the functional space, rather to the extirpation of functionally distinct taxa located at the edges of it (i.e., functional evenness and dispersion decreased, but functional richness remained constant). We also found signs of functional homogenization at the most impaired sites, where gatherers and tegument-breathing taxa dominated. These changes were mainly explained by conductivity, biological oxygen demand, and oxygen levels in the water column.</t>
  </si>
  <si>
    <t>http://dx.doi.org/10.1007/s11252-024-01540-2</t>
  </si>
  <si>
    <t>Argentina</t>
  </si>
  <si>
    <t>Chilean Winter Rainfall and Valdivian Forests</t>
  </si>
  <si>
    <t>Macrophyte Community Distribution in Relation to Anthropization Influences and Phytoplankton Development in an Urban Lake Chain</t>
  </si>
  <si>
    <t>M3467</t>
  </si>
  <si>
    <t>M3467A</t>
  </si>
  <si>
    <t>The Colentina River is a tributary of the D &amp; acirc;mbovita River in Romania, flowing through the city of Bucharest before joining the main river. It has been significantly altered by human activities, including river course fragmentation, shoreline modification, and exposure to various pollutants from local sources. Macrophytes, which are crucial biotic components, are significantly influenced by human activities. They play several important roles in lakes, such as enhancing water transparency, absorbing nutrients and carbon dioxide, and providing habitats for diverse species. This study aims to assess the structural aspects of two primary producer components (macrophytes and phytoplankton) in different sections of the Colentina River. A specific methodology was employed to evaluate macrophytes and phytoplankton, considering three habitat variables: rural, peri-urban, and urban. The principal findings indicated that anthropogenic pressures have shaped the taxonomic structure. The spatial distribution of macrophytes was found to be correlated with both the geomorphology and water quality of the ecosystems. Peri-urban and rural areas, closer to natural conditions, support greater macrophyte diversity compared to urban areas. Extended periods of eutrophication have resulted in significant growth of Chlorophyceae and Cyanobacteria, negatively impacting the ecological conditions that support macrophytes. Despite these adverse interactions, certain plants, such as Phragmites australis and Typha angustifolia, have demonstrated adaptability and resilience, occupying niches even in hypereutrophic waterbodies. The varying levels of urbanization along the Colentina River have led to ecological degradation, characterized by a decline in macrophyte and phytoplankton diversity and an increase in pollution-resistant species. This highlights the urgent need for sustainable management strategies to mitigate human impacts and preserve ecosystem health.</t>
  </si>
  <si>
    <t>http://dx.doi.org/10.3390/w16233467</t>
  </si>
  <si>
    <t>Romania</t>
  </si>
  <si>
    <t>Dfa</t>
  </si>
  <si>
    <t>lake</t>
  </si>
  <si>
    <t>inland natural waterbody</t>
  </si>
  <si>
    <t>lake only</t>
  </si>
  <si>
    <t>macrophyte</t>
  </si>
  <si>
    <t>Urban and agricultural land use led to niche differentiation of AOA, AOB and comammox along the Beiyun River continuum</t>
  </si>
  <si>
    <t>U1480</t>
  </si>
  <si>
    <t>U1480A</t>
  </si>
  <si>
    <t>River ecological health has been severely threatened by anthropogenic land-use pressures. Here, by combining remote sensing and molecular biology methods, we evaluated the impact of land-use activities on nitrification, a fundamental ecological process in rivers, which is conducted by ammonia-oxidising archaea (AOA) and ammonia-oxidising bacteria (AOB), or the newly discovered complete ammonia oxidisers (comammox). We explored the relationships of the abundance, activity, and diversity of AOA, AOB, and comammox in river sediments with land-use pressure by proposing a quantitative land use pattern index (LPI) over a 184 km continuum along the Beiyun River in North China. We found that comammox dominated nitrification in the forestry upstream (67.07 % in summer, 56.40 % in winter), while AOB became the major player in the urban middle (56.51 % in summer, 53.08 % in winter) and agricultural downstream reaches (62.98 % in summer, 50.74 % in winter). In addition, urban and agricultural land use lowered the alpha diversity of AOA and comammox, as well as simplified their co-occurrence networks, but promoted AOB diversity and complicated their networks. The structural equation model illustrated that the key drivers affecting the key taxa and activities were ammonia, and C/N for AOB, and total organic matter, and pH for comammox. We thus conclude that watershed urban and agricultural land use drive the niche differentiation of AOA, AOB, and comammox, specifically leading to a robust AOB community but weakened AOA and comammox communities. Our study connects the macro and micro worlds and provides a new paradigm for studying the variation in microbial communities as well as the potential ecological consequences under the increased anthropogenic land-use pressures in the Anthropocene.</t>
  </si>
  <si>
    <t>http://dx.doi.org/10.1016/j.watres.2024.121480</t>
  </si>
  <si>
    <t>ammonia-oxidising archaea (AOA)</t>
  </si>
  <si>
    <t>other</t>
  </si>
  <si>
    <t>Group1</t>
  </si>
  <si>
    <t>Group2</t>
  </si>
  <si>
    <t>ammonia-oxidising bacteria (AOB)</t>
  </si>
  <si>
    <t>comammox</t>
  </si>
  <si>
    <t>Impact of urbanization-driven changes of the riverbeds on its ecological status evidenced by diatom communities - The negative side of the Anthropocene</t>
  </si>
  <si>
    <t>I1706</t>
  </si>
  <si>
    <t>I1706A</t>
  </si>
  <si>
    <t>Hydromorphological transformations, which are characteristic of the Anthropocene epoch display a strong negative impact on urban water ecosystems. Therefore, there is a need to take action to minimize their negative effect when planning spatial development of urban areas. Interference in the natural course of a river alters its conditions and harming aquatic organisms. Our study concerned the assessment of differences in the structure of diatom communities between transformed streams and the river located outside the city, with unaltered hydromorphological conditions. The analysis of physicochemical parameters of studied streams revealed that the reference river located outside the urban area is characterized by stable physicochemical parameters along its flow, whilst urban streams display moderate differences related to the degree of transformation. The biodiversity assessed by the Shannon and Simpson indices of transformed rivers displayed significantly lower values when compared with the river located outside the city. Furthermore, the nMDS analysis showed differences in diatom communities related to the degree of stream transformation, but PCA analysis identified additionally pH reaction, DOC, and N-NO3- concentration as the main factors responsible for the discrimination of compared diatom communities. On the other hand, two-factor PERMANOVA on combined environmental data, i.e., sampling location and degree of hydromorphological transformation confirmed statistically significant differences between analyzed samples. Hydromorphological modifications influenced diatom biodiversity, what reflected in the ecological status of streams. The negative impact of anthropogenic changes on aquatic ecosystems was best assessed by the IPS index, which assigned urban streams' ecological status from poor to bad level. The assessment of the negative impact of hydromorphological transformations of urban streams on their ecological status is visible by comparing them with the reference ecosystem. This allows us to determine the direction for the regeneration of urban streams. Restoration procedures will not return a heavily degraded river to its natural state immediately but knowing the degree of difference from the reference state can minimize them.</t>
  </si>
  <si>
    <t>http://dx.doi.org/10.1016/j.ecolind.2024.111706</t>
  </si>
  <si>
    <t>Poland</t>
  </si>
  <si>
    <t>diatoms</t>
  </si>
  <si>
    <t>yesyes</t>
  </si>
  <si>
    <t>algae</t>
  </si>
  <si>
    <t>phytoplankton and algae</t>
  </si>
  <si>
    <t>Assessing Effects of Multi-Scale Landscape Pattern and Habitats Attributes on Taxonomic and Functional Diversity of Urban River Birds</t>
  </si>
  <si>
    <t>A0486</t>
  </si>
  <si>
    <t>A0486A</t>
  </si>
  <si>
    <t>Several studies have revealed that urban rivers with relatively complete habitat structures can support a high level of biodiversity in urban areas. However, few studies have analyzed the impact of the plan, design, and management of multi-scale urban riverside green space on bird communities by assessing several aspects of diversity (e.g., taxonomic and functional). In this study, we explored bird community variation (taxonomic and functional) among three rivers (28 sampling sites) with different levels of human disturbance along the urban development gradient in Kunming, Yunnan Province, China, during an annual cycle. This study related bird species richness and functional diversity to environmental variables at three spatial scales: landscape metrics at two different landscape scales (500 and 100 m radius) and vegetation structure at patch scales (20 m radius). Using partial least squares regression (PLSR) and multiple linear regression, we found that bird species richness and functional diversity were strongly related to various landscape- and patch-level variables. Multiple linear regression models revealed that, compared with the richness influenced by explanatory variables on three spatial scales (500, 100, and 20 m), the functional diversity was significantly influenced by explanatory variables on the 100 and 20 m scales. Tree cover at the 20 m scale had significantly positive impacts on bird species richness and functional diversity. Forest land in the 100 m scale had a significantly positive effect on bird species richness and functional diversity, while construction land in the two landscape scales (the 500- and 100 m scales) had a significantly negative effect on species richness. Accordingly, we suggest that urban riverside green space should be planned and managed at multiple scales.</t>
  </si>
  <si>
    <t>http://dx.doi.org/10.3390/d15040486</t>
  </si>
  <si>
    <t>Cwb</t>
  </si>
  <si>
    <t>breeding</t>
  </si>
  <si>
    <t>non-breeding</t>
  </si>
  <si>
    <t>Composition and spatiotemporal diversity of the aquatic bird community in Laguna de las Ilusiones, Tabasco, Mexico</t>
  </si>
  <si>
    <t>C3355</t>
  </si>
  <si>
    <t>C3355A</t>
  </si>
  <si>
    <t>. In Laguna de las Ilusiones, Villahermosa, Tabasco, Mexico, bird species interact with the anthropic elements of the landscape. Waterfowl sightings were made with the fixed-point counting method during the dry and rainy seasons of the year 2020 at 12 sampling sites in the lagoon. Urban, water physicochemical, vegetation, and macrohabitat variables were recorded at these sites to assess their influence on waterfowl. A total of 1,134 individuals belonging to 8 orders, 12 families, and 25 species were recorded. The most sighted species were Ardea alba, Egretta thula, and Butorides virescens. Species diversity (Shannon index) was higher in the dry season (H = 2.40 bits) and lower in the rainy season (H = 1.89 bits). The canonical analysis showed that species richness decreased as the percentage of urbanization in the vicinity of the sampling sites increased.</t>
  </si>
  <si>
    <t>http://dx.doi.org/10.7773/cm.y2023.3355</t>
  </si>
  <si>
    <t>Mexico</t>
  </si>
  <si>
    <t>Am</t>
  </si>
  <si>
    <t>lagoon</t>
  </si>
  <si>
    <t>lagoon only</t>
  </si>
  <si>
    <t>Mesoamerica</t>
  </si>
  <si>
    <t>Urbanization effect of homogenization on ground-dwelling arachnids' diversity in natural forest and peatland remnants</t>
  </si>
  <si>
    <t>U53-9</t>
  </si>
  <si>
    <t>U53-9A</t>
  </si>
  <si>
    <t>Continuous large forests intermingled with small patches of open ecosystems (e.g. peatlands) are typical in temperate mountain regions. They are usually removed when cities are installed, but patches remain inside. Moreover, the constant growth of cities threatens the surrounding natural landscapes. Urbanization and land-use change generates degradation of natural habitats, and loss of biodiversity and ecosystem services. In this context, we assessed arachnid diversity in non-urban, peri-urban and urban forests and peatlands in Ushuaia city (Argentina) to evaluate the effect of urbanization in these habitats. We evaluated spider abundance, richness, Exponential of Shannon Entropy (Exp(H)), Simpson Diversity (D), similarity indices and composition. Also, we explored the association between spider assemblage, urbanization categories in each habitat type and local characteristics. We installed 115 pitfall traps, and collected 2589 individuals identified in 50 species from 14 families (including Opiliones and pseudoscorpions). Urbanization had significant effects on abundance and D in both habitat types, with higher abundances in non-urban than urban and peri-urban, and higher D in peri-urban than no-urban and intermediate values in urban. Meanwhile, richness, Exp(H) and D differed between habitats, with consistent higher values in peatlands than forests. At species level, composition was different among urbanization categories, with some species lost (species that only occur in non-urban category) and gains (species that only occur in urban and peri-urban categories). In both habitats, spider assemblages of urbanizations were better correlated with vascular plant cover, with woody debris + litter cover most significantly and positively related to spiders in non-urban forests, and bryophyte cover more related to spiders in non-urban peatlands. We conclude that urban forest fragments and peatlands were able to conserve some of the arachnid diversity characteristic of natural habitats, but homogenization mediated by urbanization exists, which could affect arachnid community functions and conservation. Implication for insect conservation Our results show that urbanized habitats must undergo long-term monitoring, because although certain species are preserved, some specialists were present only in natural remnants, while others showed an affinity with urbanized habitats only. The species replaced due to possible inter-specific competition, niche modification, or both can lead to the impoverishment of the arachnid fauna. Therefore, urban planning should consider strategies to preserve and restore these semi-natural habitats to promote the conservation of these natural predators.</t>
  </si>
  <si>
    <t>http://dx.doi.org/10.1007/s10841-022-00453-9</t>
  </si>
  <si>
    <t>ET</t>
  </si>
  <si>
    <t>peatland</t>
  </si>
  <si>
    <t>inland vegetated wetland</t>
  </si>
  <si>
    <t>vegetated wetland</t>
  </si>
  <si>
    <t>mire only</t>
  </si>
  <si>
    <t>spider</t>
  </si>
  <si>
    <t>Habitat complexity, connectivity, and introduced fish drive pond community structure along an urban to rural gradient</t>
  </si>
  <si>
    <t>H2828</t>
  </si>
  <si>
    <t>H2828A</t>
  </si>
  <si>
    <t>Urbanization can influence local richness (alpha diversity) and community composition (beta diversity) in numerous ways. For instance, reduced connectivity and land cover change may lead to the loss of native specialist taxa, decreasing alpha diversity. Alternatively, if urbanization facilitates nonnative species introductions and generalist taxa, alpha diversity may remain unchanged or increase, while beta diversity could decline due to the homogenization of community structure. Wetlands and ponds provide critical ecosystem services and support diverse communities, making them important systems in which to understand the consequences of urbanization. To determine how urban development shapes pond community structure, we surveyed 68 ponds around Madison, Wisconsin, USA, which were classified as urban, greenspace, or rural based on surrounding land use. We evaluated how landscape and local pond factors were correlated with the alpha diversity of aquatic plants, macroinvertebrates, and aquatic vertebrates. We also analyzed whether surrounding land use was associated with changes in community composition and the presence of specific taxa. We found a 23% decrease in mean richness (alpha diversity) from rural to urban pond sites and a 15% decrease from rural to greenspace pond sites. Among landscape factors, adjacent developed land, mowed lawn cover, and greater distances to other waterbodies were negatively correlated with observed pond richness. Among pond level factors, habitat complexity was associated with increased richness, while nonnative fishes were associated with decreased richness. Beta diversity was relatively high for all ponds due to turnover in composition between sites. Urban ponds supported more nonnative species, lacked a subset of native species found in rural ponds, and had slightly higher beta diversity than greenspace and rural ponds. Our results suggest that integrating ponds into connected greenspaces, maintaining riparian vegetation, preventing nonnative fish introductions, and promoting habitat complexity may mitigate the negative effects of urbanization on aquatic richness. While ponds are small in size and rarely incorporated into urban conservation planning, the high beta diversity of distinct pond communities emphasizes their importance for supporting urban biodiversity.</t>
  </si>
  <si>
    <t>http://dx.doi.org/10.1002/eap.2828</t>
  </si>
  <si>
    <t>America</t>
  </si>
  <si>
    <t>pond</t>
  </si>
  <si>
    <t>reservoir/pond</t>
  </si>
  <si>
    <t>pond only</t>
  </si>
  <si>
    <t>humanmade</t>
  </si>
  <si>
    <t>other macrofauna</t>
  </si>
  <si>
    <t>vertebrate</t>
  </si>
  <si>
    <t>提到了城市引进的外来物种导致a多样性与b多样性的变化区别</t>
  </si>
  <si>
    <t>amphibian</t>
  </si>
  <si>
    <t>turtle</t>
  </si>
  <si>
    <t>other invertebrate</t>
  </si>
  <si>
    <t>invertebrate</t>
  </si>
  <si>
    <t>Impact of land use on water quality and invertebrate assemblages in Indonesian streams</t>
  </si>
  <si>
    <t>I6082</t>
  </si>
  <si>
    <t>I6082A</t>
  </si>
  <si>
    <t>Catchment land use of streams can cause deterioration of the stream ecosystems. Studies on the impact of land use on water quality and invertebrate assemblages in tropical streams are currently less common than studies in temperate regions. In the current study, we conducted a field survey on stream invertebrates and habitat characteristics in 23 streams with different land use conditions in Yogyakarta Province, Java Island, Indonesia. Relationships among catchment characteristics, habitat characteristics, and invertebrate assemblages were analyzed to elucidate the importance of land use and water quality in determining invertebrate assemblages. The analyses, using generalized linear models, showed that the relative area of urban land use of the catchment was strongly and positively related to the nutrient concentration of stream water and negatively related to the taxonomic richness of whole invertebrate assemblages and intolerant taxa. Furthermore, the richness metrics were low in streams with high nutrient concentrations, particularly PO4-P. The biplot of nonmetric multidimensional scaling showed that there was a gradient in community structure along the tolerance to water pollution that occurred in urban streams. These results collectively suggest that urban land use, not agricultural use, seemed to be a predominant factor causing nutrient enrichment in stream water and low invertebrate diversity through the exclusion of intolerant taxa in Indonesian streams whose catchments are exposed to rapid urbanization. We suggest that the impact of agricultural wastewater on stream water quality is concealed by the strong impact of urbanization when we consider that farming methods are, in general, not intensive in Indonesia, and that advanced wastewater treatment systems have not been widely introduced. Our results strongly support the development of sewage treatment as an effective solution for restoring tropical stream ecosystems.</t>
  </si>
  <si>
    <t>http://dx.doi.org/10.1016/j.limno.2023.126082</t>
  </si>
  <si>
    <t>Indonesia</t>
  </si>
  <si>
    <t>KL+MG+PE+KB</t>
  </si>
  <si>
    <t>WD+BU+MN+MB</t>
  </si>
  <si>
    <t>城市化影响水质影响无脊椎</t>
  </si>
  <si>
    <t>Sundaland</t>
  </si>
  <si>
    <t>Effects of urbanization-induced local alterations on the diversity and assemblage structure of macroinvertebrates in low-order streams</t>
  </si>
  <si>
    <t>E30-1</t>
  </si>
  <si>
    <t>E30-1A</t>
  </si>
  <si>
    <t>Urbanization is one of the most serious threats to stream ecosystems worldwide. It is crucial to understand its effects on stream organisms as a prerequisite for the mitigation of urban degradation. Our aim was to investigate the general effects of urbanization in a moderately urbanized landscape and to assess the relationship between local environmental variables and biotic attributes of macroinvertebrate assemblages. Multiple sites at low-order streams flowing from natural forested areas to moderately urbanized landscapes were surveyed. We found that local habitat properties presented degraded conditions at urban sites. Urbanization had a negative effect on the richness and Shannon diversity of macroinvertebrate assemblages, and altered assemblage composition. Biotic assemblage parameters showed negative, neutral or positive relationships with local physical parameters. Concrete cover was one of the most important variables, which explained a decreasing richness and diversity of macroinvertebrates. In natural conditions, microhabitat-level environmental variables significantly impacted community variation, while in degraded conditions microhabitat and site-level environmental variables had a substantial impact together. Individual streams showed considerable variability under natural conditions, as well as in their response to urban effects. Subsequently, the mitigation of the effects of urbanization might also need considerable variability in the type of actions required.</t>
  </si>
  <si>
    <t>http://dx.doi.org/10.1007/s10750-022-05130-1</t>
  </si>
  <si>
    <t>Hungary</t>
  </si>
  <si>
    <t>natural</t>
  </si>
  <si>
    <t>urban</t>
  </si>
  <si>
    <t>Five stream comb</t>
  </si>
  <si>
    <t>E30-1B</t>
  </si>
  <si>
    <t>Aszófői</t>
  </si>
  <si>
    <t>E30-1C</t>
  </si>
  <si>
    <t>Burnót</t>
  </si>
  <si>
    <t>E30-1D</t>
  </si>
  <si>
    <t>Cserkúti</t>
  </si>
  <si>
    <t>E30-1E</t>
  </si>
  <si>
    <t>Koloska</t>
  </si>
  <si>
    <t>E30-1F</t>
  </si>
  <si>
    <t>Örvényesi</t>
  </si>
  <si>
    <t>Effects of urbanization, biotic and abiotic factors on aquatic insect diversity in urban ponds</t>
  </si>
  <si>
    <t>E1400</t>
  </si>
  <si>
    <t>E1400A</t>
  </si>
  <si>
    <t>Urbanization leads to drastic modifications of the terrestrial and aquatic environment. However, urban ponds may provide valuable habitats for different taxa, including aquatic insects and amphibians. We aim to understand how a set of biotic and abiotic factors influence aquatic insect diversity in 18 urban ponds in the German metropolis Berlin, one of the greenest whilst most densely populated European cities. Greenspace is important for the terrestrial stages of some aquatic insects and amphibians, providing crucial resources. Thus, greenspace was assumed to have positive effects on aquatic insect diversity, whereas built-up area was assumed to affect diversity negatively. Because some aquatic insects prey on tadpoles, their abundance and diversity were assumed to depend on tadpole abundance, which in turn, depends on other food (i.e., phytoplankton) availability in ponds. We visited the ponds twice a year, in spring and summer, and collected data on aquatic insects that are known to prey on tadpoles, tadpole abundance, phytoplankton biomass, the presence or absence of large insect predators, as well as physical-chemical parameters. We assumed higher total aquatic insect abundance, genera richness, alpha-diversity, and evenness, as well as abundance and genera richness of different aquatic insect taxonomic groups to be associated with high tadpole abundance in ponds surrounded by high amount of greenspace and low levels of built-up area. Accordingly, we expected aquatic insects to be modulated by phytoplankton biomass, the presence of newts and fish, and to be affected by ponds' abiotic conditions. Our results showed that biological interactions and abiotic water conditions override urban effects in ponds' terrestrial surroundings on aquatic insect diversity levels, whereas aquatic insects' taxonomic groups responded differently on different land-use types around ponds. We explain our findings due to different dependences and demands towards terrestrial and/or aquatic habitats by different taxonomic groups of aquatic insects, and differences in their colonization behavior.</t>
  </si>
  <si>
    <t>http://dx.doi.org/10.3389/fevo.2023.1121400</t>
  </si>
  <si>
    <t>Germany</t>
  </si>
  <si>
    <t>aquatic beetles</t>
  </si>
  <si>
    <t>insect</t>
  </si>
  <si>
    <t>insect only</t>
  </si>
  <si>
    <t>考虑到食物链的多样性，水昆虫吃蝌蚪，蝌蚪吃浮游植物，研究了水昆虫多样性</t>
  </si>
  <si>
    <t>Anthropogenic land uses influence stream dissolved organic matter quality more than decomposition rates and macroinvertebrate diversity</t>
  </si>
  <si>
    <t>A0991</t>
  </si>
  <si>
    <t>A0991A</t>
  </si>
  <si>
    <t>In the era of the Anthropocene, streams and rivers are among the most heavily impacted ecosystems due to the influence of catchment land use on stream water quality and ecological condition. In practice, structural and functional indicators collected by biomonitoring programs are underused and thus limited in their ability to offer practical insight into functional-based restoration approaches. Here we applied a novel combination of indicators-cotton strip decomposition, benthic invertebrate sampling together with dissolved organic matter (DOM) composition - to determine if streams highly impacted by urbanized and agricultural land use across Windsor Essex (southwestern Ontario, Canada) were consistent across season, anthropogenic land use or some combination of both. Overall, our results suggest that urbanized and agricultural streams are indeed degraded at a similar level, with high decomposition rates and low levels of macroinvertebrate diversity. Moreover, DOM quality proved to be the most predictable indicator spatially and seasonally, integrating insights from both decomposition and macroinvertebrate indices. Microbial humic-like DOM correlated positively with decomposition rates, and negatively with invertebrate species richness. Our findings show that functional changes in stream ecological condition can be effectively tracked by structural indicators, namely DOM composition. DOM offers a cost-effective approach to assessing ecosystem health and should be explored as a reliable indicator in monitoring programs and to inform functional-based indicators in ecosystem restoration.</t>
  </si>
  <si>
    <t>http://dx.doi.org/10.1016/j.ecolind.2023.110991</t>
  </si>
  <si>
    <t>Canada</t>
  </si>
  <si>
    <t>benthic macroinvertebrate</t>
  </si>
  <si>
    <t>Effects of urban demand for food and water on physicochemicals and biotic structure of riverine wetlands in the Pampean plain</t>
  </si>
  <si>
    <t>E.006</t>
  </si>
  <si>
    <t>E.006A</t>
  </si>
  <si>
    <t>Riparian areas of riverine plains develop extensive floodable areas named riverine wetlands, which are essential to the water cycle balance and ecosystem dynamics. In this study, we contrasted the hydrological and physicochemical variables of riverine wetlands of both peri-urban areas impacted by intensive farming and those of rural areas with the indicators of the biotic structure (taxonomic richness, Shannon diversity and total density) of benthic diatoms, phytoplankton, zooplankton, macroinvertebrates, chironomids, fishes, turtles, and birds. The study was performed on riverine waters of the Pampean plain, Argentina, with four seasonal samplings conducted in 2017-2018. Our results showed that the significant deepening of the groundwater level caused by aquifer overexploitation in peri-urban areas, as well as the declining surface water quality with higher phosphorus and total nitrogen concentrations, affected the taxonomic richness, diversity, and total density of the biotic assemblages of riverine wetlands. The taxonomic richness of birds, turtles, phytoplankton, chironomids, and fishes was the most sensitive to land use. Phytoplankton, chironomid, and fish diversity showed the greatest differences between rural and peri-urban riverine waters, while the total density of chironomids and birds showed the greatest differences according to land use. The results suggest that the socioeconomic development in those riverine wetlands that still maintain conditions close to the natural ones needs to be subject to guidelines derived from integrated basin management and sustainable urban planning. (c) 2021 European Regional Centre for Ecohydrology of the Polish Academy of Sciences. Published by Elsevier B.V. All rights reserved.</t>
  </si>
  <si>
    <t>http://dx.doi.org/10.1016/j.ecohyd.2021.08.006</t>
  </si>
  <si>
    <t>riverine wetland</t>
  </si>
  <si>
    <t>other inland wetland</t>
  </si>
  <si>
    <t>riverine wetland only</t>
  </si>
  <si>
    <t>phytoplankton</t>
  </si>
  <si>
    <t>chironomid</t>
  </si>
  <si>
    <t>zooplankton</t>
  </si>
  <si>
    <t>benthic diatoms</t>
  </si>
  <si>
    <t>Impact of Urbanisation Intensity on Bird Diversity in River Wetlands around Chaohu Lake, China</t>
  </si>
  <si>
    <t>I0473</t>
  </si>
  <si>
    <t>I0473A</t>
  </si>
  <si>
    <t>Simple Summary The continuous intensification of urbanisation has led to severe degradation and loss of bird habitats, directly affecting the diversity of birds. In this study, we focused on seven representative river wetlands around Chaohu Lake (China) to analyse the impact of urbanisation on bird diversity. The species richness at sections of the lake entrance was higher than in the middle sections of the river, and the Shannon-Wiener index during autumn was higher than that during winter. Urbanisation was an important driving factor that changed land use types near rivers and the structure of bird communities. The response model of river ecological indicators to the intensity of urbanisation shows a negative exponential correlation between the waterbird diversity index and the urbanisation intensity. Our research is of great significance for future urban landscape planning and bird community diversity protection. Urbanisation is known to result in 'urban stream syndrome', which poses a huge threat to the river health. Birds, which are an important part of the river ecosystem, are sensitive to environmental changes in the basin. The ratio of the impervious surface area is a macroscopic indicator of urbanisation intensity in river basins. In this study, we combined the results of a year-round field survey of seven river wetlands around Chaohu Lake (China) with satellite remote sensing image data from the same period. The species richness at sections of the lake entrance was higher than in the middle sections of the river, and the Shannon-Wiener index during autumn was higher than that during winter. The waterbird diversity index declined exponentially with increases in the intensity of urbanisation. The changes in the land use patterns around river wetlands associated with urbanisation resulted in the loss of food resources and habitats. Therefore, the intensity of urbanisation was an important driving factor that leads to changes in the bird community structure of river wetlands, so it had a significant impact on the diversity of river wetland birds in all four seasons combined with a variety of influencing factors. Our research could be a guide for urban landscape planning and bird diversity protection. For example, the results suggested that it is necessary to identify river wetlands as an important part of the urban ecosystem, reduced building area, increased vegetation coverage, and retained slope protection and river beach land.</t>
  </si>
  <si>
    <t>http://dx.doi.org/10.3390/ani12040473</t>
  </si>
  <si>
    <t>Bacterial communities in peat swamps reflect changes associated with catchment urbanisation</t>
  </si>
  <si>
    <t>B38-3</t>
  </si>
  <si>
    <t>B38-3A</t>
  </si>
  <si>
    <t>Like many peat wetlands around the world, Temperate Highland Peat Swamps on Sandstone (THPSS), located in the Sydney Basin, Australia, have been impacted by urban development. In this paper, we used Illumina 16S rRNA DNA amplicon sequencing to characterise and compare the bacterial communities of surface (top 0-2 cm) and deep (50 cm) sediments in peat swamps that occur in both urbanised and non-urbanised catchments. Proteobacteria (32.2% of reads), Acidobacteria (23.6%) and Chloroflexi (10.7%) were the most common phyla of the dataset. There were significant differences in the bacterial community structure between catchment types and depths apparent at the phyla level. Proteobacteria, Bacteroidetes, Actinobacteria and Verrucomicrobia made up a greater proportion of the reads in the surface sediments than the deeper sediments, while Chloroflexi and Nitrospirae were relatively more common in the deeper than the surface sediment. By catchment type, Acidobacteria were more common in swamps occurring in non-urbanised catchments, while Nitrospirae, Bacteroidetes and Actinobacteria were more common in those in urbanised catchments. Microbial community structure was significantly correlated with sediment pH, as was the relative abundance of several phyla, including Acidobacteria (negative correlation) and Bacteroidetes (positive correlation). As an indicator of trophic shift from oligotrophic to copiotrophic conditions associated with urbanised catchment, we found significant differences ratios of beta-Proteobacteria to Acidobacteria and Bacteriodetes to Acidobacteria between the catchment types. Based on SIMPER results we suggest the relative abundance of Nitrosomonadaceae family as a potential indicator of urban degradation. As the first study to analyse the bacterial community structure of THPSS using sequencing of 16S rDNA, we reveal the utility of such analyses and show that urbanisation in the Blue Mountains is impacting the microbial ecology of these important peatland ecosystems.</t>
  </si>
  <si>
    <t>http://dx.doi.org/10.1007/s11252-022-01238-3</t>
  </si>
  <si>
    <t>Australia</t>
  </si>
  <si>
    <t>Cfb</t>
  </si>
  <si>
    <t>Australia and New Zealand</t>
  </si>
  <si>
    <t>swamp</t>
  </si>
  <si>
    <t>swamp only</t>
  </si>
  <si>
    <t>Forests of East Australia</t>
  </si>
  <si>
    <t>Hydric vegetation communities across rural, peri-urban, and urban zones within the Prairie Pothole Region</t>
  </si>
  <si>
    <t>H7539</t>
  </si>
  <si>
    <t>H7539A</t>
  </si>
  <si>
    <t>Wetland and pond hydric vegetation is impacted across the rural, peri-urban, and urban zones by anthropogenic activities such as agricultural production, industrial manufacturing, and urban development. Previous studies have assessed urban and rural wetland vegetation, but have rarely explored the peri-urban zone of development. Therefore, to investigate the impacts of urbanization on hydric vegetation, thirty pond sites (10 rural, 10 periurban, and 10 urban) were randomly selected within each of the three zones. The vegetation community at each site was assessed using a quadrat method to compare the vegetation composition. In addition, floristic quality based on the conservatism value of each plant species was used to assess wetland vegetation. Results show plant communities of rural sites differed from both urban and peri-urban sites due partly to urbanization reducing the cover of obligate wetland species. Peri-urban sites contained the highest species richness, due to the increase in introduced plants associated with urbanization. Urban sites contained the lowest species richness, some of which is due to the use of rock riprap surrounding the edges of most sites. The plant conservatism values of vegetation were not different for rural and peri-urban sites, but were significantly lower in urban sites. Information from this study is useful to wetland professionals, environmental managers, and urban planners to predict hydric vegetation responses within peri-urban areas in the Prairie Pothole Region.</t>
  </si>
  <si>
    <t>http://dx.doi.org/10.1016/j.ufug.2022.127539</t>
  </si>
  <si>
    <t>wet meadow plant</t>
  </si>
  <si>
    <r>
      <rPr>
        <sz val="11"/>
        <color theme="1"/>
        <rFont val="等线"/>
        <charset val="134"/>
        <scheme val="minor"/>
      </rPr>
      <t>S</t>
    </r>
    <r>
      <rPr>
        <sz val="11"/>
        <color theme="1"/>
        <rFont val="等线"/>
        <charset val="134"/>
      </rPr>
      <t>ø</t>
    </r>
    <r>
      <rPr>
        <sz val="11"/>
        <color theme="1"/>
        <rFont val="等线"/>
        <charset val="134"/>
        <scheme val="minor"/>
      </rPr>
      <t>rensen</t>
    </r>
  </si>
  <si>
    <t>low prairie plant</t>
  </si>
  <si>
    <t>Small stream catchments in a developing city context: The importance of land cover changes on the ecological status of streams and the possibilities for providing ecosystem services</t>
  </si>
  <si>
    <t>S1974</t>
  </si>
  <si>
    <t>S1974A</t>
  </si>
  <si>
    <t>Urban expansion and the transformation of rural areas into suburban areas along with increasing human pressure can cause major changes in the environment. Typical effects of urbanization include degradation of aquatic ecosystems. However, urban expansion is often accompanied by an effort to provide residents with some contact with nature in the city. Natural waterbodies are the elements of the environment predestined to ensure appropriate conditions for recreation and other ecosystem services key to human well-being. In this study, the changes in the forms of development of a submontane stream catchment area (Carpathians, Poland) against the background of the gradual extension of city boundaries were analysed. In addition, the impact of urbanization on the ecological conditions of the urban stream, and therefore the potential ecosystem to provide ecosystem services, was assessed. Although the extension of the city entailed the development of settlements, it was accompanied by the expansion of the municipal sewage infrastructure, thus improving sewage management. The disappearance of arable lands from the stream catchment due to the decline in agricultural activities initiated the spontaneous process of buffer restoration along the stream. All the biotic indices such as Shannon diversity index, Margalef species richness index and BMWP-PL index, based on macroinvertebrate communities increased, and the fish were more numerous in the late stage of city development compared with the early (rural) stage. Surprisingly, the system has rehabilitated well with no revitalisation actions. It is necessary, however, to improve morphological in-stream conditions, and to make further efforts to improve water quality for the system to develop a semi-natural state. Only reaching full ecological potential can lead to an increase in the ecosystem capacity to provide ecosystem services. The studied ecosystem may provide many different services simultaneously, but their availability depends on the protection of the ecosystem's functioning as a whole.</t>
  </si>
  <si>
    <t>http://dx.doi.org/10.1016/j.scitotenv.2021.151974</t>
  </si>
  <si>
    <t>Urbanization-induced environmental changes strongly affect wetland soil bacterial community composition and diversity</t>
  </si>
  <si>
    <t>U444f</t>
  </si>
  <si>
    <t>U444fA</t>
  </si>
  <si>
    <t>Soil microbial communities potentially serve as indicators for their responses to changes in various ecosystems at scales from a region to the globe. However, changes in wetland soil bacterial communities and how they are related to urbanization intensities remains poorly understood. Here, we collected 60 soil samples along urbanization intensity gradients from 20 wetlands. We measured a range of environmental factors and characterized bacterial communities structure using 16S ribosomal RNA (16S rRNA) gene amplicon sequencing that targeted the V4-V5 region. Our results revealed the dominant soil bacterial phyla included Proteobacteria (39.3%), Acidobacteria (21.4%) and Chloroflexi (12.3%) in the wetlands, and showed a significant divergence of composition in intensive urbanization area (UI_4) than other places. A critical 'threshold' exists in the soil bacterial diversity, demonstrating different patterns: a gradual increase in the areas of low-to-intermediate disturbances but a significant decrease in highly urbanized areas where metabolic functions were significantly strong. Additionally, soil pH, total phosphorus (TP), available phosphorus (AP) and ammonia nitrogen (NH4 (+)-N) made a significant contribution to variations in bacterial communities, explaining 49.6%, 35.1%, 26.2% and 30.7% of the total variance, respectively. pH and NH4 (+)-N were identified as the main environmental drivers to determine bacterial community structure and diversity in the urban wetlands. Our results highlight collective changes in multiple environmental variables induced by urbanization rather than by the proportion of impervious surface area (ISA), which were potentially attributed to the spatial heterogeneity along different urbanization gradients.</t>
  </si>
  <si>
    <t>http://dx.doi.org/10.1088/1748-9326/ac444f</t>
  </si>
  <si>
    <t>soil bacterial</t>
  </si>
  <si>
    <t>UI_2</t>
  </si>
  <si>
    <t>UI_4</t>
  </si>
  <si>
    <t>High species turnover shapes anuran community composition in ponds along an urban-rural gradient</t>
  </si>
  <si>
    <t>H74-8</t>
  </si>
  <si>
    <t>H74-8A</t>
  </si>
  <si>
    <t>The rapid expansion of urban areas in which natural and semi-natural areas are replaced by human infrastructure, is a major threat to biodiversity worldwide. However, little is known about how the structure of biotic communities is affected by urbanization in the tropics. Here, we tested the effect of land use types and pond size in urban and rural areas on frog species richness and community composition in central Brazil. We selected 20 ponds differing in size and surrounding levels of urbanization and native vegetation cover. We quantified relationships between environmental variables and species richness and community composition using a Poisson GLM and a distance-based Redundancy Analysis (db-RDA), respectively. Variation in species richness was positively related to pond size and negatively related to the amount of urbanization in a 500 m buffer around ponds. Community composition was mainly driven by species turnover than by nestedness, with turnover being explained primarily by urbanization and native vegetation cover. Our results indicate that urbanization negatively influences species richness. Moreover, as the amount of urbanization increased, several species were replaced by other taxa better adapted to urban environments. Our results indicate that understanding the effects of urbanization on amphibians in tropical cities might improve conservation strategies, such as preserving large ponds in urban environments.</t>
  </si>
  <si>
    <t>http://dx.doi.org/10.1007/s11252-021-01174-8</t>
  </si>
  <si>
    <t>Aw</t>
  </si>
  <si>
    <t>anuran</t>
  </si>
  <si>
    <t>amphibian and reptile</t>
  </si>
  <si>
    <t>Cerrado</t>
  </si>
  <si>
    <t>Urbanization affects the taxonomic and functional alpha and beta diversity of fish assemblages in streams of subtropical China</t>
  </si>
  <si>
    <t>U9441</t>
  </si>
  <si>
    <t>U9441A</t>
  </si>
  <si>
    <t>Understanding human-induced changes in biodiversity and the environment can provide important references for managing and conservating freshwater fish. To date, most studies on the influence of urbanization on fish assemblage diversity have focused on large rivers, estuaries, and urban ponds; the process and mechanism of urbanization driving diversity changes in fish assemblages in headwater streams are unclear. We assessed the effects of urbanization on the taxonomic and functional alpha and beta diversity of fish assemblages in the headwater streams of the Xin'an River in China. Our results showed that compared with natural segments, urban segments had higher species richness and lower functional richness, which resulted from the gain of native invasive species and the loss of endemic species; fish assemblages also became taxonomically differentiated but functionally homogenized. In addition, Delta FD (difference value in functional beta diversity between urban and natural segments) was significantly positively correlated with Delta TD (difference value in taxonomic beta diversity between urban and natural segments), whereas only Delta FD was significantly negatively related to the urbanization indicators (e.g. urban land use and ammonia nitrogen concentration). Thus, a combination of taxonomic and functional diversity indices better reveals how fish biodiversity responds to urbanization. Our study provides evidence of urbanization-induced changes in fish assemblages as well as early warning signs for urban-disturbed ecosystems, both of which will benefit fish conservation in headwater streams.</t>
  </si>
  <si>
    <t>http://dx.doi.org/10.1016/j.ecolind.2022.109441</t>
  </si>
  <si>
    <t>Urbanization reduces resource use efficiency of phytoplankton community by altering the environment and decreasing biodiversity</t>
  </si>
  <si>
    <t>U.001</t>
  </si>
  <si>
    <t>U.001A</t>
  </si>
  <si>
    <t>Urbanization often exerts multiple effects on aquatic and terrestrial organisms, including changes in biodiversity, species composition and ecosystem functions. However, the impacts of urbanization on river phytoplankton in subtropical urbanizing watersheds remain largely unknown. Here, we explored the effects of urbanization on phytoplankton community structure (i.e., biomass, community composition and diversity) and function (i.e., resource use efficiency) in a subtropical river at watershed scale in southeast China over 6 years. A total of 318 phytoplankton species belonging into 120 genera and 7 phyla were identified from 108 samples. Bacillariophyta biomass showed an increasing trend with increasing urbanization level. The phytoplankton community shifted from Chlorophyta dominance in rural upstream waters to Bacillariophyta dominance in urbanized downstream waters. Furthermore, phytoplankton diversity and resource use efficiency (RUE = phytoplankton biomass/total phosphorus) were significantly decreased with increasing urbanization level from upstream to downstream. Phytoplankton RUE exhibited a significant positive correlation with species richness, but a negative correlation with phytoplankton evenness. The variation in environmental factors (turbidity, total nitrogen, NH4+-N, total phosphorus, PO43--P and percentage urbanized area) was significantly correlated with phytoplankton diversity and RUE. Overall, our results revealed the influence of urbanization on phytoplankton community structure and ecosystem function was due to its altering the environmental conditions. Therefore, human-driven urbanization may play crucial roles in shaping the structure and function of phytoplankton communities in subtropical rivers, and the mechanism of this process can provide important information for freshwater sustainable uses, watershed management and conservation. (C) 2021 The Research Center for Eco-Environmental Sciences, Chinese Academy of Sciences. Published by Elsevier B.V.</t>
  </si>
  <si>
    <t>http://dx.doi.org/10.1016/j.jes.2021.05.001</t>
  </si>
  <si>
    <t>Upstream</t>
  </si>
  <si>
    <t>Downstream</t>
  </si>
  <si>
    <t>Main macroinvertebrate community drivers and niche properties for characteristic species in urban/rural and lotic/lentic systems</t>
  </si>
  <si>
    <t>M32-5</t>
  </si>
  <si>
    <t>M32-5A</t>
  </si>
  <si>
    <t>The effect of urbanization is often reflected both in lotic and lentic habitats, through changes in diversity and structural and compositional changes in macroinvertebrate communities. In this study, we focused on macroinvertebrate assemblage in lotic and lentic ecosystems of the Krapiel River catchment area (NW Poland) with the following aims: (1) to determine the main driver in structuring lotic and lentic macroinvertebrate communities and the factors that influence them in urban versus rural landscapes; (2) to test whether the diversity of macroinvertebrate assemblages in urban lotic/lentic ecosystems is lower than that in rural landscapes; (3) to identify characteristic macroinvertebrate species for urban and rural lotic/lentic ecosystems; to (4) determine species tolerance ranges and species optimums, with special emphasis on characteristic urban and rural species. Distance from study sites to built-up areas and conductivity were the main factors contributing to the separation of urban vs. rural habitats. For lotic sites, temperature, the percentage of built-up area, insolation, and oxygen concentration were the main factors significantly associated with changes in community composition. For lentic sites, insolation, temperature, and BOD5 were recognized as the main factors which are significantly associated with changes in community composition. The results for lentic habitats were as expected: average species richness was higher in rural than in urban habitats. The characteristic species for each of the four habitat groups included Mideopsis orbicularis for Lentic rural habitats; Hygrobates longipalpis for Lotic rural habitats; Piona sp. for Lentic urban habitats; Mideopsis crassipes for Lotic urban habitats. Hygrobates longipalpis and Piona sp. were at the opposite sides with respect to the degree of urbanization. Result of this investigation has shown that the impact of urbanization and consequently the implementation of conservation measures should be viewed separately within the lentic and lotic gradient.</t>
  </si>
  <si>
    <t>http://dx.doi.org/10.1007/s00027-021-00832-5</t>
  </si>
  <si>
    <t>lotic</t>
  </si>
  <si>
    <t>M32-5B</t>
  </si>
  <si>
    <t>lentic</t>
  </si>
  <si>
    <t>Land conversion induced by urbanization leads to taxonomic and functional homogenization of a river macroinvertebrate metacommunity</t>
  </si>
  <si>
    <t>L3940</t>
  </si>
  <si>
    <t>L3940A</t>
  </si>
  <si>
    <t>Conversion of forests to urban land-use in the processes of urbanization is one of the major causes of biotic homogeni-zation (i.e., decline in beta diversity) in freshwater ecosystems, threating ecosystem functioning and services. How-ever, empirical studies exploring urban land-use shaping patterns of taxonomic and functional beta diversities and their components in subtropical urban rivers are limited. Here, by leveraging data for 43 sampling sites from urban and forest rivers in Shenzhen, a megacity showing rapid urbanization, we determined the spatio-temporal dynamics and associated drivers of taxonomic and functional beta diversities of river macroinvertebrates. Our results showed that, from the forest to urban rivers, taxonomic beta diversity (wet: 32.9%; dry: 17.1%) declined more significantly than functional beta diversity (wet: 17.4%; dry: 9.5%) in different seasons. We further found that these compositional changes were largely driven by decreased roles of species/traits replacement. Although replacement was also domi-nant for taxonomic beta diversity (60.4%-68.4%) in two sets of rivers, richness difference contributed more to func-tional beta diversity in the urban river (52.6%-60.5%). Both deterministic and stochastic processes simultaneously affected beta diversity, with stochastic processes being more important in the urban (3.0-19.0%) than forest rivers (0.0%-3.0%). Besides, db-RDA and variation partitioning results showed that local-scale environmental variables ex-plained considerably large fractions of variation in beta diversity. We hence recommended that biodiversity conserva-ti on should focus on improving and restoring local environmental conditions. Despite no significant seasonal differences in beta diversity were detected in this study, we found that the roles of deterministic (i.e., local-scale and land-use variables) and stochastic processes varied considerately across seasons. This result highlights the viewpoint that urban river biodiversity monitoring should go beyond one-season snapshot surveys. As the ongoing trend of urbanization in developing countries, the findings of this study are relevant in guiding urban river environmental monitoring, biodiversity conservation and land-use planning.</t>
  </si>
  <si>
    <t>http://dx.doi.org/10.1016/j.scitotenv.2022.153940</t>
  </si>
  <si>
    <t>Aquatic biodiversity loss in Andean urban streams</t>
  </si>
  <si>
    <t>A48-1</t>
  </si>
  <si>
    <t>A48-1A</t>
  </si>
  <si>
    <t>Andean rivers support an amazing biodiversity and provide important environmental services for Andean landscapes like water for agriculture and human consumption. Urban areas in Andean countries have grown at an accelerated rate in the last decades. As a consequence, a lack of wastewater treatment and riparian preservation have threatened these streams. We studied urban, agricultural, and well-preserved streams in the Upper Guayllabamba River Basin, where Quito, the capital city of Ecuador, is located. We found an aquatic insect richness loss of 78% in urban impacted streams. Urbanization extent within a watershed was strongly related to pollution and water quality decline, and aquatic insect community composition shifts to less diverse assemblages. Urban streams in Quito have lost most of their biodiversity and ecosystem services. However, they are important green areas for citizens and deserve better attention. Well-preserved streams in the area need protection since they host a rich biodiversity that we are starting to describe.</t>
  </si>
  <si>
    <t>http://dx.doi.org/10.1007/s11252-022-01248-1</t>
  </si>
  <si>
    <t>Ecuador</t>
  </si>
  <si>
    <t>aquatic insect</t>
  </si>
  <si>
    <t>Tropical Andes</t>
  </si>
  <si>
    <t>Effect of Different Land Use Types on the Taxonomic and Functional Diversity of Macroinvertebrates in an Urban Area of Northern China</t>
  </si>
  <si>
    <t>E3793</t>
  </si>
  <si>
    <t>E3793A</t>
  </si>
  <si>
    <t>The urbanization of riverine landscapes is an increasing threat to river ecosystems. However, it is unclear which metrics can best assess the response of macroinvertebrates to the conversion of forested lands to urban and agricultural lands. The main goal of this study is to examine whether trait-based approaches are more sensitive than taxonomic approaches in distinguishing macroinvertebrate responses to different land use types in a highly urbanized area of northern China. Results based on 14 environmental variables showed a significant difference across a human-induced environmental gradient. The results showed that no significant differences were observed in terms of taxonomic diversity indices between the different land use types. Functional evenness (FEve) and Rao's quadratic entropy decreased with the increase in urban area caused by the intensification of human activity, demonstrating that functional diversity is more sensitive than taxonomic diversity in discriminating between different land use types. In addition, the results based on RLQ (physical-chemical variables (R), macroinvertebrate taxa (L), and species traits (Q)) and fourth-corner analyses indicated that the trait states of bi- or multivoltine, high dispersal capacity, and not-streamlined body shape were much higher in the agricultural area and positively related to farmland percentage. Taxa with large body size were dominant in urban areas and were positively correlated with EC. Overall, the observed responses of traits to environmental variables suggest that trait-based approaches should be incorporated into land use management for river restoration.</t>
  </si>
  <si>
    <t>http://dx.doi.org/10.3390/w14233793</t>
  </si>
  <si>
    <t>Riverine bacterioplankton and phytoplankton assembly along an environmental gradient induced by urbanization</t>
  </si>
  <si>
    <t>R2179</t>
  </si>
  <si>
    <t>R2179A</t>
  </si>
  <si>
    <t>Longitudinal environmental heterogeneity and directionality of the water movement are key features that may exert contrasting forces on riverine plankton assembly. Directionality strengthens dispersal-driven assembly, but this can be masked by urbanization-induced environmental heterogeneity along the river continuum. In the light of this contrast, we aimed at delineating the relative importance of assembly processes generating distribution patterns of bacterioplankton and phytoplankton communities in a river draining an urbanizing watershed in Southeast China. We applied variation partitioning analysis, neutral community model, and quantitative process estimate on molecular and morphological plankton data obtained over the years 2012-2016. Despite a relatively short distance between sampling sites (&lt; 20 km), plankton community similarity decreased with increasing distance from the upstream pristine site toward the downstream urban area, and formed clusters that roughly corresponded to five habitat patches, predefined based on hydrology and longitudinal landscape change. These distribution patterns were predominantly driven by deterministic and stochastic processes for phytoplankton and bacterioplankton, respectively, indicating a balance between dispersal due to fluvial connectivity and local selective pressures. Considering the global loss of river connectivity due to downstream fragmentation and flow regulation, our findings imply that plankton-based ecological approaches could be useful to hedge against an uncertain future of rivers draining urbanizing watersheds in an ecologically sustainable way.</t>
  </si>
  <si>
    <t>http://dx.doi.org/10.1002/lno.12179</t>
  </si>
  <si>
    <t>bacterioplankton</t>
  </si>
  <si>
    <t>Pristine</t>
  </si>
  <si>
    <t>Houxi</t>
  </si>
  <si>
    <t>Urbanisation gradients, riparian-loss and contaminant effects on macroinvertebrate distribution within a tropical river (Nigeria)</t>
  </si>
  <si>
    <t>U4918</t>
  </si>
  <si>
    <t>U4918A</t>
  </si>
  <si>
    <t>Riparian vegetation and built-up density along the urbanised section of the Calabar river were estimated using NDVI (Normalised Differential Vegetation Index) and NDBI (normalised differential built-up index), respectively. Four sampling stations representing riparian density and built-up gradients i.e. Station 1 (sparse riparian + high-density built-up), 2 (sparse riparian + high to intermediate-density built-up), 3 (moderate riparian + intermediate to low-density built-up) and station 4 (moderate riparian + low-density built-up) were selected. Station-specific variations of metal (Pb, Cd, Cr, Fe and Cu) in surface water and benthic macro-invertebrate communities were examined between January and December 2013 and correlated using redundancy analysis (RDA). Buffer analysis revealed that stations having low NDBI with over 120 m dense riparian areas showed a marked abundance of muddy/coarse substrate while sparse riparian areas showed siltier and sandier substrate. Redundancy analysis revealed a marked delineation of macroinvertebrate occurrence with the riparian density of stations. High diversity macroinvertebrate assemblages showed a strong positive association with alkaline pH, the density of riparian vegetation and substrate type. This first report highlights the critical relationship between riparian density, water quality and benthic macroinvertebrates in a tropical river.</t>
  </si>
  <si>
    <t>http://dx.doi.org/10.1080/02757540.2022.2094918</t>
  </si>
  <si>
    <t>Nigeria</t>
  </si>
  <si>
    <t>Lower-middle-income</t>
  </si>
  <si>
    <t>Sub-Saharan Africa</t>
  </si>
  <si>
    <t>Urbanization has changed the distribution pattern of zooplankton species diversity and the structure of functional groups</t>
  </si>
  <si>
    <t>U6944</t>
  </si>
  <si>
    <t>U6944A</t>
  </si>
  <si>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</si>
  <si>
    <t>http://dx.doi.org/10.1016/j.ecolind.2020.106944</t>
  </si>
  <si>
    <t>30-60km</t>
  </si>
  <si>
    <t>0-10km</t>
  </si>
  <si>
    <t>Native plant turnover and limited exotic spread explain swamp biotic differentiation with urbanization</t>
  </si>
  <si>
    <t>N2550</t>
  </si>
  <si>
    <t>N2550A</t>
  </si>
  <si>
    <t>Questions Does urbanization promote biotic differentiation or homogenization of swamp plant communities? What is the contribution of natives and exotics to swamp response to urbanization? Location Quebec City, Canada. Methods Plant communities of 34 swamps located in low, moderately or highly urbanized landscapes were sampled, and species classified into three exclusive groups: native wetland, native upland and exotic plants. Urbanization's influence on the richness of each plant group was assessed using mixed models. Between-site compositional similarities were calculated to identify variations in beta diversity with urbanization level using tests for homogeneity in multivariate dispersion. Beta diversity was further partitioned into species replacement and richness difference for each plant group. Finally, the relationships of ten environmental variables representing soil water saturation and microtopography with plant assemblages were determined by redundancy analysis. Results Although the richness of exotics increased with urbanization intensity, revealing increasing propagule pressure, it remained six to 27 times lower compared to the richness of natives, which remained stable with urbanization. On the other hand, beta diversity increased with urbanization, with higher dissimilarities in species composition between highly urbanized swamps than between low-urbanized ones. This pattern resulted from high species replacement among natives, while richness difference mainly contributed to exotic beta diversity. Changes in plant assemblages were mostly associated with bryophyte cover and soil drainage and red mottle size, suggesting that hydrological conditions likely acted as a strong driver of swamp plant community response to urbanization. Conclusions Swamp plant communities experienced biotic differentiation with increasing urbanization. This differentiation pattern likely was linked to the unpredictable effect of urbanization on hydrological regimes, which promoted high native turnover while limiting exotic spread. Long-term monitoring is recommended to ensure that exotics do not outcompete natives through time. Designing sustainable cities requires a greater understanding of the multifaceted effect of urbanization on biodiversity.</t>
  </si>
  <si>
    <t>http://dx.doi.org/10.1111/avsc.12550</t>
  </si>
  <si>
    <t>Vascular plant</t>
  </si>
  <si>
    <t>Low</t>
  </si>
  <si>
    <t>High</t>
  </si>
  <si>
    <t>Effects of urbanization on the fauna of Odonata on the coast of southern Brazil</t>
  </si>
  <si>
    <t>E1122</t>
  </si>
  <si>
    <t>E1122A</t>
  </si>
  <si>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</si>
  <si>
    <t>http://dx.doi.org/10.1590/1676-0611-BN-2020-1122</t>
  </si>
  <si>
    <t>Odonata</t>
  </si>
  <si>
    <t>Zygoptera</t>
  </si>
  <si>
    <t>non-urbanized</t>
  </si>
  <si>
    <t>urbanized</t>
  </si>
  <si>
    <t>Anisoptera</t>
  </si>
  <si>
    <t>Garden pond diversity: Opportunities for urban freshwater conservation</t>
  </si>
  <si>
    <t>G.005</t>
  </si>
  <si>
    <t>G.005A</t>
  </si>
  <si>
    <t>Urbanisation is increasing globally, degrading terrestrial and freshwater habitats and reducing faunal and floral richness. Whilst the potential for garden ponds to serve as important biodiversity resources in urban areas has been documented in a limited number of studies, quantifying the contribution of garden ponds to urban freshwater diversity has been largely neglected. This study aims to quantify the taxonomic richness, community composition and conservation value of aquatic macroinvertebrates in domestic garden and non-urban ponds. Taxonomic richness was significantly lower in garden ponds than non-urban ponds at an alpha and gamma scale. A greater richness of Odonata, Coleoptera, Gastropoda and Hemiptera were recorded in non-urban ponds. Garden ponds were found to support compositionally different macroinvertebrate communities compared to non-urban ponds, influenced by variation in water depth and conductivity. A total of 23 taxa were recorded from garden ponds only. Non-urban ponds had a significantly higher conservation value compared to garden ponds (87% of garden ponds were of low or moderate conservation value, while only 35% of non-urban ponds were in these categories). Although garden ponds currently support limited macroinvertebrate diversity and have lower conservation value, they contribute to the regional species pool and their potential to limit future urban biodiversity loss is significant. Given their high abundance and popularity within the urban landscape, clear guidance is required for pond-owners on how to best manage garden ponds to support and sustain biodiversity. For this to be achieved, research is required to increase fundamental understanding of urban pond ecology, and the development of evidence led garden pond management practices. (C) 2021 Gesellschaft fur Okologie. Published by Elsevier GmbH. All rights reserved.</t>
  </si>
  <si>
    <t>http://dx.doi.org/10.1016/j.baae.2021.09.005</t>
  </si>
  <si>
    <t>United Kingdom</t>
  </si>
  <si>
    <t>Non-urban</t>
  </si>
  <si>
    <t>Garden</t>
  </si>
  <si>
    <t>Sørensen</t>
  </si>
  <si>
    <t>Specific indicator invertebrates of urbanized habitats in tributary streams of the Lujan River basin (Buenos Aires, Argentina)</t>
  </si>
  <si>
    <t>S1010</t>
  </si>
  <si>
    <t>S1010A</t>
  </si>
  <si>
    <t>The increase of urbanized areas produces disturbances in rivers and streams, and its widespread effects reduce water quality and threaten aquatic biota. The aim of this study was to analyze changes in the invertebrate communities of the Lujan River basin (Buenos Aires Province, Argentina) in an urbanization gradient and to determine the specific indicator taxa of urbanized habitats. Nine sampling sites were selected in the Lujan River basin, distributed along a land use gradient. At each sampling site physicochemical variables of water were recorded, and invertebrate samples were collected during four seasons. A Principal Component Analysis separated three groups of sites with different urbanization conditions: low (&lt;15%), moderate (between 15% and 60%) and high urbanization (&gt;60%). These groups showed differences in the concentration of dissolved oxygen, suspended particulate organic matter, and nitrates. The communities changed with urbanization conditions, with a simplification of the community composition and a decrease in richness towards the lower basin (moderate and high urbanization). The IndVal method found three indicator taxa for the low urbanization sites (Heleobia sp. (Cochliopidae), Uncancylus sp. (Ancylidae) and Callibaetis sp. (Baetidae)) and three for the moderate urbanization habitats (Nematoda, Hyalella curvispina (Hyalellidae) and Chironominae). These taxa were useful to identify different disturbance conditions due to urbanization, which makes them potential bioindicators in the diagnosis and monitoring of water quality in the Lujan River basin. This work allows us to analyze the changes in invertebrate communities of the Lujan River basin in an urbanization gradient and to determine the specific indicator taxa of urbanized habitats.</t>
  </si>
  <si>
    <t>http://dx.doi.org/10.1051/limn/2021010</t>
  </si>
  <si>
    <t>invertebrate(400μm)</t>
  </si>
  <si>
    <t>Low urbanization</t>
  </si>
  <si>
    <t>High urbanization</t>
  </si>
  <si>
    <t>Plant diversity and conservation value of wetlands along a rural-urban gradient</t>
  </si>
  <si>
    <t>Pi1.4</t>
  </si>
  <si>
    <t>Pi1.4A</t>
  </si>
  <si>
    <t>Background: Wetlands are the most threatened ecosystem in South Africa despite the range of ecosystem goods and services they provide. A significant cause of wetland destruction and degradation is a lack of understanding, by planners, policymakers and developers, of their ecological and socio-economic importance. Objectives: This study assessed the floristic composition and diversity of wetlands in the former Tlokwe Municipal area along a rural-urban gradient. Methods: Fourteen wetland sites were surveyed along an urbanisation gradient. Vegetation surveys were done in quadrats along transects in each wetland recording the cover-abundance of each species. The data were analysed by using ordinations, similarity percentages, and the adjusted Floristic Quality Assessment Index. Results: Overall, the proportional species composition of urban and rural wetlands was mainly similar. Trends indicated that the alpha diversity increased with both habitat size and heterogeneity along a rural-urban gradient. In all wetlands, indigenous species were the most abundant, with the highest score in the largest urban wetland. The floristic quality varied widely along the gradient with none of the sites in pristine condition. Conclusion: The similarity in species composition and floristic quality of the wetlands, as well as the high levels of indigenous species richness, indicated that urban wetlands are worthy of conservation. However, the signs of disturbances and the presence of alien species means that restoration strategies need to be implemented to improve the quality of the wetlands.</t>
  </si>
  <si>
    <t>http://dx.doi.org/10.38201/btha.abc.v51.i1.4</t>
  </si>
  <si>
    <t>South Africa</t>
  </si>
  <si>
    <t>BSk</t>
  </si>
  <si>
    <t>inland wetland</t>
  </si>
  <si>
    <t>Effects of different types of land-use on taxonomic and functional diversity of benthic macroinvertebrates in a subtropical river network</t>
  </si>
  <si>
    <t>E67-w</t>
  </si>
  <si>
    <t>E67-wA</t>
  </si>
  <si>
    <t>Expansion of agricultural and urban areas and intensification of catchment land-use increasingly affect different facets of biodiversity in aquatic communities. However, understanding the responses of taxonomic and functional diversity to specific conversion from natural forest to agriculture and urban land-use remains limited, especially in subtropical streams where biomonitoring programs and using functional traits are still under development. Here, we conducted research in a subtropical stream network to examine the responses of macroinvertebrate taxonomic and functional diversity to different types of land-use in central China. Our results showed that medium body size, univoltine, gill respiration, and slow seasonal development were much higher in natural forest sites, while certain traits related to strong resilience and resistance (e.g., small body size, fast seasonal development, bi-or multivoltine, abundant occurrence in drift, sprawler) dominated in high-intensity agriculture and urbanization sites. We further found that land-use compromised water quality (e.g., increases in total phosphate, conductivity and water temperature) and habitat conditions (e.g., high proportion of sand and silt, gravel, and channel width) accounted for the changes in trait composition based on a combination of RLQ and fourth-corner analysis. Moreover, natural forest sites presented relatively high values of functional richness than other land-use, demonstrating the importance of natural forest maintenance to promote high levels of functional diversity. However, taxonomic diversity indexes showed higher sensitivity to distinguish different types of land-use compared to functional diversity measures. Even so, given that certain trait categories showed significant relationships with specific local environmental stressors, trait-based approaches can provide reliable evidence to diagnose the cause of impairment and complement the results of the taxonomic-based approaches. Our findings support the idea that taxonomic and functional approaches should be integrated in river restoration and land-use management.</t>
  </si>
  <si>
    <t>http://dx.doi.org/10.1007/s11356-021-13867-w</t>
  </si>
  <si>
    <t>Fish assemblages and water quality in pampean streams (Argentina) along an urbanization gradient</t>
  </si>
  <si>
    <t>F57-z</t>
  </si>
  <si>
    <t>F57-zA</t>
  </si>
  <si>
    <t>The Matanza Riachuelo Basin is one of the most polluted watersheds in the world. We assessed the relationships between land use, stream-water quality, and the structure of the fish assemblages on a subbasin scale from data obtained in 44 sampling sites. A gradient of change from the rural upper sector to the urbanized and industrialized lower basin in conjunction with water-quality impoverishment was recorded. Redundancy analysis revealed that dissolved oxygen concentration, heavy metals, detergents, and Escherichia coli were the most explanatory variables of that gradient. Fish assemblages manifested the highest richness, abundance, and diversity in the rural areas; in the urbanized and industrialized sectors, the fish community became severely modified, represented only by tolerant species. Multivariate analyses indicated that the fish assemblage structure was highly impacted by water-quality deterioration. The combined study of the impacts of land use on water quality and fish assemblages enabled a detailed diagnosis of the consequent effects on a subbasin scale, thus substantiating the usefulness of fish assemblages as a model for that purpose. Field studies over large-scale gradients of environmental impact are essential for understanding the mechanisms of ecological deterioration and biotic responses as a first step in developing remediation policies.</t>
  </si>
  <si>
    <t>http://dx.doi.org/10.1007/s10750-021-04657-z</t>
  </si>
  <si>
    <t>The Role of Urbanness, Vegetation Structure, and Scale in Shaping Puerto Rico's Acoustically Active Mangrove Fauna Communities</t>
  </si>
  <si>
    <t>T0288</t>
  </si>
  <si>
    <t>T0288A</t>
  </si>
  <si>
    <t>The mangroves of Puerto Rico occupy a gradient of urbanization that offers a chance to test hypotheses on urban faunal communities. These hypotheses state that urban avifaunal communities have greater representation by generalists and that certain mangrove specialists can utilize urban landscapes. Much of this is said to be driven by food resources, with frugivores and nectarivores benefiting from abundant residential flowers and fruits, while insectivores are driven away by low food resources. This study used passive acoustic monitoring to identify the audible anuran and avifaunal species in mangroves across an urban gradient of Puerto Rico. Five anurans and thirty-one avian species were detected across all sites, with twenty-three species found at the most species rich site, and eight at the least rich site. Analyses on urban effects were conducted at an island-wide scale as well as a local scale with different results between the two. Island wide, the most urban faunal communities were more similar to each other in species composition relative to the least urban communities, and there was a significant difference in the community composition between the two. However, there were no differences in avian or anuran species richness between the least and most urban sites. Minimum canopy height was the strongest predictor of overall avian richness and avian invertivore richness, while the extent of mixed forest cover was the strongest predictor for increasing anuran richness. Some urban metrics, such as street density and the percent of surrounding urban and developed open space were strong predictors of certain avian feeding guilds and distribution groups. At the local scale, sites of maximum urbanness held 2-3 more bird species on average than corresponding sites of minimum urbanness at the same location, although there was no difference in anuran species and no differences in avian or anuran community composition between the two. Further, avian richness did increase significantly from the minimum to maximum urbanness site at six of the nine locations. These findings highlight that higher mangrove canopies are the strongest predictor of higher avian richness, but depending on the scale of observations, urbanness also plays a limited role in shaping mangrove faunal communities.</t>
  </si>
  <si>
    <t>http://dx.doi.org/10.3389/fmars.2021.670288</t>
  </si>
  <si>
    <t>Puerto Rico</t>
  </si>
  <si>
    <t>Af</t>
  </si>
  <si>
    <t>mangrove</t>
  </si>
  <si>
    <t>mangrove only</t>
  </si>
  <si>
    <t>Caribbean Islands</t>
  </si>
  <si>
    <t>frog</t>
  </si>
  <si>
    <t>Coastal Wetlands: Ecosystems Affected by Urbanization?</t>
  </si>
  <si>
    <t>C0698</t>
  </si>
  <si>
    <t>C0698A</t>
  </si>
  <si>
    <t>Coastal wetlands are ecosystems that provide multiple benefits to human settlements; nonetheless, they are seriously threatened due to both a lack of planning instruments and human activities associated mainly with urban growth. An understanding of their functioning and status is crucial for their protection and conservation. Two wetlands with different degrees of urbanization, Rocuant-Andalien (highly urbanized) and Tubul-Raqui (with little urbanization), were analyzed using temperature, salinity, dissolved oxygen, pH, turbidity, granulometry, fecal coliform, and macroinvertebrate assemblage variables in summer and winter. In both wetlands marked seasonality in salinity, temperature and sediment texture classification, regulated by oceanic influence and changes in the freshwater budget, was observed. In the Rocuant-Andalien wetland, the increases in pH, dissolved oxygen, gravel percentage, and coliform concentration were statistically significant. Urbanization generated negative impacts on macroinvertebrate assemblage structure that inhabit the wetlands; greater richness and abundance (8.5 times greater) were recorded in the Tubul-Raqui wetland than in the more urbanized wetland. The multivariate statistical analysis reflects the alteration of these complex systems.</t>
  </si>
  <si>
    <t>http://dx.doi.org/10.3390/w12030698</t>
  </si>
  <si>
    <t>Chile</t>
  </si>
  <si>
    <t>saltmarsh</t>
  </si>
  <si>
    <t>marsh only</t>
  </si>
  <si>
    <t>Environmental determinants of diving beetle assemblages (Coleoptera: Dytiscidae) in an urban landscape</t>
  </si>
  <si>
    <t>E77-9</t>
  </si>
  <si>
    <t>E77-9A</t>
  </si>
  <si>
    <t>Blue infrastructure is an important component of urban green infrastructure, due to its capacity for water cycle regulation and soil formation, as well as supporting unique biodiversity. Urban ponds, as part of urban blue, can harbour a diverse assemblage of aquatic macroinvertebrates. As yet, it is not clear how urbanisation affects macroinvertebrate diversity. In this study, we focus on diving beetles (Dytiscidae) in the Helsinki Metropolitan Area, Finland, to investigate how urbanisation affects their diversity, as well as the effects of margin steepness and the presence or absence of fish on urban dytiscids. We sampled dytiscids using 1-L activity traps in 14 fishless ponds and 11 ponds with fish, at ten sites. We applied generalised linear mixed models (GLMM) and non-metric multidimensional scaling (NMDS) to analyse the effects on dytiscid assemblages. We found that urbanisation had a negative effect on species richness but not on abundance. Steepness of pond margins and the presence or absence of predatory fish, affected both species richness and abundance: dytiscids prefer ponds with gently sloping margins; they have 80% higher species richness and are 79% more abundant in fishless ponds, and medium to large-sized dytiscid species are more capable of coexisting with fish. Urban wetlands can support a diversity of dytiscids at the regional level, and the presence of ponds without predatory fish is beneficial for maintaining dytiscid diversity. We recommend maintaining a diverse range of ponds and wetland habitats for the maintenance of aquatic biodiversity in urban regions.</t>
  </si>
  <si>
    <t>http://dx.doi.org/10.1007/s10531-020-01977-9</t>
  </si>
  <si>
    <t>Finland</t>
  </si>
  <si>
    <t>dytiscid</t>
  </si>
  <si>
    <t>Effects of Urbanization on Water Quality and the Macrobenthos Community Structure in the Fenhe River, Shanxi Province, China</t>
  </si>
  <si>
    <t>E3486</t>
  </si>
  <si>
    <t>E3486A</t>
  </si>
  <si>
    <t>The relationships between land use types, water and sediment parameters, and macrobenthos community structures in the upper and middle reaches of the Fenhe River and urbanization intensity were studied. Samples were collected from 23 sampling sites. Spearman rank correlation analyses were performed to assess the relationships between the percentages of impervious area or the proportions of four land uses and the water and sediment physicochemical properties, heavy metal and polycyclic aromatic hydrocarbon concentrations in water and sediment, and biological indicators of the macrobenthos communities. Some water parameters (temperature, oxidation-reduction potential, electrical conductivity, total N concentration, total P concentration, ammonia-N concentration, and nitrate-N concentration), some sediment parameters (total N concentration, total P concentration, organic matter content, percentage of particles with diameters &lt;2 mm, and polycyclic aromatic hydrocarbon, Cd, Cr, Cu, Ni Pb, and Zn concentrations), and some macrobenthos parameters (Berger-Parker index and percentages of collectors, tolerant taxa, and Oligochaeta) significantly positively correlated with the percentage of impervious area. Some water parameters (pH and dissolved oxygen concentration), some sediment parameters (percentage of particles with diameters &gt;2 mm), and some macrobenthos parameters (total biomass, total number of taxa, Shannon's index, N diversity index, and percentages of Ephemeroptera, Plecoptera, Trichoptera, filterers, scrapers, and sensitive taxa) significantly negatively correlated with the percentage of impervious area. The results indicate that intensification of urbanization has strongly affected the water, sediment, and macrobenthos in the Fenhe River watershed.</t>
  </si>
  <si>
    <t>http://dx.doi.org/10.1155/2020/8653486</t>
  </si>
  <si>
    <t>macrobenthos</t>
  </si>
  <si>
    <t>macrofauna</t>
  </si>
  <si>
    <t>Urbanization increases biotic homogenization of zooplankton communities in tropical reservoirs</t>
  </si>
  <si>
    <t>U5899</t>
  </si>
  <si>
    <t>U5899A</t>
  </si>
  <si>
    <t>Under rapid urbanization, many reservoirs built in rural areas are being embraced into by nearby expanding cities. Anthropogenic activities in urban areas can strongly affect aquatic biodiversity by modifying aquatic landscape and reduce habitat heterogeneity. As one of the key components in reservoir ecosystems, zooplankton is sensitive to such habitat changes. Within the metacommunity framework, we predict that in an urbanized landscape: (1) species sorting becomes the most important process in determining the variation of zooplankton communities; (2) urbanization will result in low beta-diversity and biotic homogenization of zooplankton communities and such homogenization will not significantly vary across time. To test these predictions, we investigated twenty five permanent reservoirs over three hydrological seasons in a well-developed and rapidly expanding city in tropical China. The reservoirs were grouped into two location classes and three storage size classes. Our results suggested that the structure of zooplankton communities were strongly homogenized in the studied urban reservoirs as being reflected in the low beta-diversity between the two location classes. However, high beta-diversity was found within each storage size class, mainly derived from species turnover (beta(sim)). The high beta-diversity indicated that the variation of zooplankton community is a consequence of environmental heterogeneity within each storage size class. Variation partitioning revealed a weak spatial structure for zooplankton communities at the large scale, while only Chla as an indicator of food supply significantly explained high community variation among reservoirs in the dry season, but not in wet and transition seasons despite apparent species seasonal succession.</t>
  </si>
  <si>
    <t>http://dx.doi.org/10.1016/j.ecolind.2019.105899</t>
  </si>
  <si>
    <t>reservoir</t>
  </si>
  <si>
    <t>reservoir only</t>
  </si>
  <si>
    <t>transition</t>
  </si>
  <si>
    <t>Coupled fish-hydrogeomorphic responses to urbanization in streams of Columbus, Ohio, USA</t>
  </si>
  <si>
    <t>C4303</t>
  </si>
  <si>
    <t>C4303A</t>
  </si>
  <si>
    <t>Despite a developing literature on urban streams, few studies have addressed the timing and mechanisms of urban-induced stream hydrogeomorphic adjustment on biotic assemblages. Here, we investigated the relationships between urbanization-driven annual changes in fluvial geomorphic characteristics and fish assemblages in 12 headwater streams in the Columbus Metropolitan Area (CMA), Ohio (USA) over 3-5 years. Multiple stream hydrogeomorphic characteristics changed over time including slope (0.1% decrease on average), discharge (39% decrease), and shear stress (29% decrease), some in concert with one another (e.g., slope and shear stress). Species-specific fish associations with hydrogeomorphic associations varied in nature and strength by year and thus were somewhat equivocal. At the assemblage level, we observed a negative relationship between D-50(median sediment particle size) and % tolerant individuals as well as a positive trend between incision ratio and % generalists over study years. Study reaches with higher total catchment imperviousness were associated with both finer median sediment size (R-2= 0.19) and lower assemblage diversity (R-2= 0.55). These results contribute to current understanding of the drivers of fish assemblages in urbanizing catchments, and point to urban-induced hydrogeomorphic alterations as one mechanism through which land-use changes influence in-channel characteristics important to aquatic biota.</t>
  </si>
  <si>
    <t>http://dx.doi.org/10.1371/journal.pone.0234303</t>
  </si>
  <si>
    <t>Fish Assemblages in Pampean Streams (Buenos Aires, Argentina): Relationship to Abiotic and Anthropic Variables</t>
  </si>
  <si>
    <t>F0476</t>
  </si>
  <si>
    <t>F0476A</t>
  </si>
  <si>
    <t>The present study reported the effect of natural and anthropic environmental variables on the fish assemblages in the pampean streams, in the coastal strip along the Rio de la Plata, Buenos Aires province, Argentina. Five streams were sampled at 12 sites surrounded by land devoted to different uses. A correspondence analysis sorted the streams into two groups: a less impacted group formed by sites surrounded by livestock- raising pastures and a more impacted one passing through urban sites and including a stream adjacent to a modest rural urbanization with a dairy in the stream's basin. The nutrient concentrations were significantly higher in the more impacted group; with species richness, diversity, abundance, and biomass being significantly lower. A canonical-correspondence analysis linked the more impacted sites to high concentrations of soluble reactive phosphorus and impoverished fish assemblages, composed of species tolerant to environmental pollution. On the other hand, sites with higher oxygen concentrations and pH were related to richer assemblages pointing to good environmental conditions at the sites surrounded by livestock-raising pastures. The downstream sites on the less impacted streams contained fish assemblages in which the juvenile stages of species corresponding to the Rio de la Plata were dominant.</t>
  </si>
  <si>
    <t>http://dx.doi.org/10.1590/0001-3765202020190476</t>
  </si>
  <si>
    <t>Patterns of fish use in urban estuaries: Engineering maintenance schedules to protect broader seascape habitat</t>
  </si>
  <si>
    <t>P6729</t>
  </si>
  <si>
    <t>P6729A</t>
  </si>
  <si>
    <t>Estuaries are experiencing high rates of modification because of urban development and on-going associated maintenance works which impacts their ecosystem functions and services. This research appraises the fish and crustacean community occupying urbanised estuaries, and whether necessary maintenance works (dredging, mangrove pruning) could be timed to better protect the ecosystem values. Using a range of sampling equipment we collected fish and crustacean assemblages from urban, semi-urban, and non-urban estuaries, in addition to water quality, tidal inundation, and marine plant densities to determine relationships among sites. Seasonal differences in body size distributions of socio-economically important species were also examined to infer timing of juvenile recruitment. Despite common assumptions that urbanised estuaries are degraded and provide little habitat value for coastal species, we found that the species composition of aquatic assemblages was similar between urban and non-urban sites, but differed according to tidal position (i.e. supralittoral vs. lower tidal). Seasonality in body size distributions differed among socio-economically important fisheries species, with some species showing juvenile recruitment during the wet season, dry season, or throughout the year. This study demonstrates that, regardless of urban vs. non-urban context, estuaries provide habitat for many aquatic animals, including socio-economically important fish species. Complexity associated with the dynamism of estuarine ecosystems and variability in constituent species' life-history patterns makes management decisions regarding timing and delivery of urban waterway maintenance difficult. However, maintenance works that occur during Austral dry season (May to October) would provide the best protection for marine plants (non-flowering season for mangroves), while also reduces downstream movement of sediments and contaminants during wet season rainfall flow. Undertaking necessary maintenance works in the dry season provides grounds for wide scale seascape ecosystem optimism.</t>
  </si>
  <si>
    <t>http://dx.doi.org/10.1016/j.ecss.2020.106729</t>
  </si>
  <si>
    <t>estuaries</t>
  </si>
  <si>
    <t>estuaries only</t>
  </si>
  <si>
    <t>crustacean</t>
  </si>
  <si>
    <t>Influence of Anthropic Impacts on the Functional Structure of Aquatic Invertebrates in Subtropical Wetlands</t>
  </si>
  <si>
    <t>I17-1</t>
  </si>
  <si>
    <t>I17-1A</t>
  </si>
  <si>
    <t>Changes in land cover are the main threats to integrity and biodiversity of wetlands. Here, we evaluated the effects of agriculture and urbanization on the functional traits (FT) of aquatic invertebrate. We evaluated 30 wetlands distributed among agricultural, urban and natural landscapes on the south of Brazil. We selected eight FT that encompassed aspects of life history, morphology and behavioral strategies to functionally characterize invertebrate fauna and 10 environmental variables of wetlands. We collected 3868 organisms distributed among 138 taxa (Crustacea, Mollusca, Hexapoda. The RLQ analysis (environmental, R; species-abundances, L; species-traits, Q) showed that there was a relationship between environmental conditions and the functional composition of the invertebrates. The FT that were more sensitive to environmental changes were scrapers feeding habit, reproduction mode, resistance form, adult aquatic stage, flat body shape, and dispersal mode. Our results suggest that land use acted as environmental filters, as they promote the selection and convergence of specific characteristics that give organisms more resilience and/or resistance to cope with the effects of anthropogenic disturbances. Also this results showed that (i) human disturbance can influence directly on the dynamic of the wetlands ecosystems functioning and (ii) the efficiency of the use FT in the environmental monitoring.</t>
  </si>
  <si>
    <t>http://dx.doi.org/10.1007/s13157-020-01317-1</t>
  </si>
  <si>
    <t>coastal contain multiple types of wetland</t>
  </si>
  <si>
    <t>aquatic invertebrate (500 μm)</t>
  </si>
  <si>
    <t>How does Urban Pollution Influence Macroinvertebrate Traits in Forested Riverine Systems?</t>
  </si>
  <si>
    <t>H3111</t>
  </si>
  <si>
    <t>H3111A</t>
  </si>
  <si>
    <t>The influence of urbanization on macroinvertebrate traits was explored in forested rivers in the Niger Delta area of Nigeria. Physico-chemical variables were sampled on a monthly basis alongside macroinvertebrates in 20 sites of 11 rivers spanning 2008-2012. Physico-chemical variables were used to classify the 20 sites into three ecological classes, namely: least impacted sites (LIS), moderately impacted sites (MIS) and highly impacted sites (HIS) using principal component analysis. Our results based on RLQ (R = physico-chemical variables, L = macroinvertebrate taxa and Q = macroinvertebrate traits) and fourth-corner analyses revealed that large body size, grazing and hardshell were positively significantly associated with LIS on the RLQ. They were also either negatively correlated with any two of water temperature, nutrients, BOD5 and flow velocity or positively significantly correlated with increasing DO. Thus, these traits were considered sensitive to urban pollution in forested rivers. Burrowing, predation and pupa aquatic stage, which were positively associated with HIS, were also significantly negatively correlated with increasing DO, and were deemed tolerant of urban pollution in forested rivers. Box plots and a Kruskal-Wallis test revealed that the three sensitive traits were significantly highest at LIS (p &lt; 0.05) except grazing; while the three tolerant traits were significantly highest at MIS (p &lt; 0.05) except burrowing. Overall, this study revealed that urban pollution influences macroinvertebrate traits differently in forested rivers.</t>
  </si>
  <si>
    <t>http://dx.doi.org/10.3390/w12113111</t>
  </si>
  <si>
    <t>Guinean Forests of West Africa</t>
  </si>
  <si>
    <t>Sensitivity and reliability of diatom metrics and guilds in detecting the impact of urbanization on streams</t>
  </si>
  <si>
    <t>S6506</t>
  </si>
  <si>
    <t>S6506A</t>
  </si>
  <si>
    <t>The impact of land use changes on stream biota is the major concern of aquatic biodiversity conservation in the context of the rapid global population growth. Benthic diatoms are good indicators to detect land use impact and provide insights into environmental management. However, the impact of urbanization on benthic diatoms has not been well understood in China. In the hope of promoting the understanding of this issue, a research program is designed to examine the responses of selected diatom metrics to urbanization in the Qiantang River Basin. The study identifies a total of 143 taxa belonging to 34 genera and 20 families, with an average of 32 taxa per site. It shows that urbanization greatly has degraded stream chemical and physical quality in terms of high nutrients concentration and fine sediments. Meanwhile, the redundancy analysis reveals that urban stream diatom compositions are mainly associated with %Urban, TN, COD and WD. A total of three metrics (Simpsons index, Shannon-Wiener index and TDI) and two guilds (%Stalked individuals and %Prostrate individuals) respond to urbanization significantly, and their variations are explained more by land uses at watershed scale than by those at local scale. Watershed land use (% Urban and % Forest) and nutrients (TN) explain 55% of the variation in TDI. The results of the study highlight the sensitive responses of diatom metrics and guilds to urbanization, which may provide effective tools in the assessment of urbanization impact on streams in China.</t>
  </si>
  <si>
    <t>http://dx.doi.org/10.1016/j.ecolind.2020.106506</t>
  </si>
  <si>
    <t>Wetland plant community variation across replicate urban to rural gradients: non-native species as both drivers and passengers in systems impacted by anthropogenic land-use</t>
  </si>
  <si>
    <t>W12-3</t>
  </si>
  <si>
    <t>W12-3A</t>
  </si>
  <si>
    <t>Anthropogenic land-use change impacts ecological communities in urban and rural landscapes, and wetlands are particularly vulnerable despite the valuable ecosystem services they provide. Urbanized non-wetland systems are often enriched in non-native plant species, and similar patterns in wetlands would have implications for ecosystem function and biodiversity. We evaluated landscape-scale patterns of plant community diversity across gradients of rural to urban land-use, testing whether diversity was related to environmental conditions indicative of surrounding land-use. We surveyed vegetation and collected soil samples from 45 wetlands throughout Ohio, USA. Sites were categorized based on surrounding land-use as intense urban, moderate urban, or rural, representing 15 replicate urban to rural gradients. Non-native richness was 56% greater and non-native relative abundance 74% greater in intense urban sites compared to rural sites. Structural equation modeling indicated that high non-native relative abundance caused reductions in native plant richness but not native Shannon diversity, which was instead related to high concentrations of urban-associated soil contaminants such as cadmium and sodium. Our results support both versions of the driver-passenger model of invasion impacts, depending on the response: native richness is directly limited by competition with non-native species (the driver model), while native diversity is limited more by urban-associated stressors that also affect non-natives (the passenger model). The few wetlands remaining in highly urban areas thus experience a range of constraints affecting multiple dimensions of wetland health. We argue it is in these sites specifically where the benefits of restoring wetland ecosystems will be maximized.</t>
  </si>
  <si>
    <t>http://dx.doi.org/10.1007/s11252-020-01012-3</t>
  </si>
  <si>
    <t>freshwater emergent wetlands</t>
  </si>
  <si>
    <t>Effects of Land Cover Pattern Along Urban-Rural Gradient on Bird Diversity in Wetlands</t>
  </si>
  <si>
    <t>E0086</t>
  </si>
  <si>
    <t>E0086A</t>
  </si>
  <si>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</si>
  <si>
    <t>http://dx.doi.org/10.3390/d11060086</t>
  </si>
  <si>
    <t>rural</t>
  </si>
  <si>
    <t>Morisita-Horn</t>
  </si>
  <si>
    <t>Influence of water quality and habitat conditions on amphibian community metrics in rivers affected by urban activity</t>
  </si>
  <si>
    <t>I62-w</t>
  </si>
  <si>
    <t>I62-wA</t>
  </si>
  <si>
    <t>Anuran amphibians are highly dependent on aquatic ecosystems. Many amphibian species are exhibiting population declines primarily due to habitat destruction and water quality degradation as a result of urban expansion. The objective of this study was to examine combined effects of habitat degradation and water quality on amphibian assemblages in rivers affected by urban impacts. Twelve sites along three rivers were characterized in regard to urbanization and habitat condition using the calculation of a Habitat Model Affinity (HMA) score. Fifteen water quality parameters were assessed at each site. A Simplified Index of Water Quality (SIWQ) and a general Water Quality Index (WQI) were applied. Species richness and relative abundance of amphibians were estimated from visual encounter and calling surveys during summer season between 2009 and 2013. Species richness and abundance were negatively correlated with phosphate, nitrate concentrations and total coliforms, and positively correlated with HMA, electrical conductivity and dissolved oxygen. Species richness was also affected negatively by turbidity. Principal component analysis showed that sites with higher amphibian community metrics were also the ones with lower nutrient levels and better habitat conditions. This study identified important water quality parameters affecting amphibians in rivers with increasing urban impact; and provides information that can be used in the design of strategies to minimize the impacts of urbanization on aquatic biodiversity.</t>
  </si>
  <si>
    <t>http://dx.doi.org/10.1007/s11252-019-00862-w</t>
  </si>
  <si>
    <t>Species richness of urban and rural fish assemblages in the Grijalva Basin floodplain, southern Gulf of Mexico</t>
  </si>
  <si>
    <t>S-005</t>
  </si>
  <si>
    <t>S-005A</t>
  </si>
  <si>
    <t>Urban sprawl poses a major threat to aquatic biodiversity. The species richness in fish assemblages of fifteen ecosystems with different degrees of hydraulic connectivity in the floodplain of the Grijalva River watershed has been analysed and described along five years. After human interventions, four lagoons are permanently disconnected and three are temporarily connected. The other three lagoons stay permanently interconnected. Native cichlids and poeciliids dominated in number of species, representing 24 of the 55 listed species. These 55 species include six non-native invasive species in the Usumacinta Province. The lowest number of species was recorded in urban lagoons, while they were similar in rural lagoons and rivers. In addition, 60% of the fish absent in the lagoons of the Metropolitan Area of Villahermosa (MAV) are species with a marine or an estuarine affinity; thus, the permanently disconnected MAV lagoons have seven species less than the permanently connected rural lagoons. Diversity corresponds to that reported in the literature. In urban lagoons, low diversity and the high percentage of lacking fish with a marine or an estuarine affinity indicate that ichthyological diversity is favoured by the interconnection of rivers and rural lagoons in the floodplain of the Grijalva River Basin.</t>
  </si>
  <si>
    <t>http://dx.doi.org/10.26028/cybium/2019-433-005</t>
  </si>
  <si>
    <t>Spatio-temporal variation of zooplankton community structure in tropical urban waterbodies along trophic and urban gradients</t>
  </si>
  <si>
    <t>S96-2</t>
  </si>
  <si>
    <t>S96-2A</t>
  </si>
  <si>
    <t>The ecological impacts of urbanization and eutrophication on zooplankton communities in urban waterbodies have recently gained wide interest. Study findings vary across species and urban waterbodies. How the development of such changes affects the variation of biotic assemblages has only been explored to a limited extent in tropical urban lakes. Spatial and temporal variations of zooplankton community structure in 11 urban waterbodies in the Klang Valley, Malaysia were investigated along trophic and urbanization gradients. Zooplankton and water quality samples were collected three times, between May and November 2017, from two different locations in each lake. All three main zooplankton groups (rotifera, copepoda, and cladocera) were recorded from the study areas throughout the sampling period. The zooplankton community structure, particularly with regard to rotifers and cladocerans, varied between lakes and seasons. Zooplankton diversity does not vary with lake size or distance from the city center but does vary with shoreline development index and urbanization impacts. The zooplankton populations were dominated by rotifers, mainly Brachionus angularis at all study sites during the study period followed by copepods and cladocerans. The total density of zooplankton was significantly highest (p &lt; 0.05) in the hypereutrophic lakes and during the dry season. Zooplankton diversity and rotifer species richness were negatively correlated with total phosphorus (TP). Diversity increased with urbanization and shoreline development, with rotifers as a potential bioindicator of trophic state in urban tropical lakes, due to their close relationship with TP.</t>
  </si>
  <si>
    <t>http://dx.doi.org/10.1186/s13717-019-0196-2</t>
  </si>
  <si>
    <t>Malaysia</t>
  </si>
  <si>
    <t>gardens and recreational sites and flood storage</t>
  </si>
  <si>
    <t>How mollusk assemblages respond to different urbanization levels: characterization of the malacofauna in subtropical Brazilian mangroves</t>
  </si>
  <si>
    <t>H83-8</t>
  </si>
  <si>
    <t>H83-8A</t>
  </si>
  <si>
    <t>This study aimed to describe the composition of mollusk assemblages in subtropical Brazilian mangroves with different levels of urbanization in their watersheds. Mangroves are important ecosystems, which are vanishing worldwide due to human impacts. The knowledge about the consequences of human pressure on the fauna of these ecosystems is still incipient. In addition, although Brazil is the country with the second largest mangrove area, there is a lack of studies on the mangrove fauna in this country. Mollusks are the second most abundant group of mangrove invertebrates and can be useful indicators of mangrove health. For this reason, mollusk species were assessed in two mangroves surrounded by a dense human population and in two mangroves away from urban centers. A total of 3820 individuals, representing 15 species, were sampled. The results revealed that the mollusk abundance, diversity estimators, and sediment organic matter content were not good indicators of the effects of urbanization on the mangroves studied. However, the species composition of mollusk assemblages differed according to the urbanization level. This survey of the mangrove malacofauna represents another step toward the effort to investigate and conserve the fauna of these important estuarine environments.</t>
  </si>
  <si>
    <t>http://dx.doi.org/10.1007/s12526-018-0883-8</t>
  </si>
  <si>
    <t>mollusk</t>
  </si>
  <si>
    <t>Urban legacies: Aquatic stressors and low aquatic biodiversity persist despite implementation of regenerative stormwater conveyance systems</t>
  </si>
  <si>
    <t>U6072</t>
  </si>
  <si>
    <t>U6072A</t>
  </si>
  <si>
    <t>Urbanization is a global stressor of stream ecosystems. Watershed managers in urban regions often implement infiltration-based stormwater control measures (SCMs) to mitigate the effects of urbanization. Most research on SCM implementation, however, has focused primarily on their effects of sediment and nutrient loading, so little is known about the effect of SCMs on other urban stressors to which aquatic ecosystems are especially sensitive (e.g., flow patterns, temperature, conductivity). We addressed this research gap by studying the hydro-ecological effects of SCM implementation in 11 headwater streams in Maryland, USA. The study included 4 forested streams, 4 urban streams (urban-degraded), and 3 urban streams whose watersheds contain regenerative stormwater conveyances (urban-restored), a type of infiltration-based SCM. We measured baseflow discharge and water quality monthly and monitored stream stage, temperature, and precipitation at high frequencies over a 1-y period. We also quantified aquatic insect assemblage composition during the spring season of the monitoring year. We found that stream conductivity and daily maximum water temperatures increased with increasing impervious cover and that SCM implementation had no effect on these metrics. Dissolved oxygen was lower in the urban-restored streams than in forested streams, whereas dissolved oxygen was slightly higher in urban-degraded streams than in urban-restored streams. Temperature surges during runoff events were highest in the urban-degraded streams and lower in urban-restored streams, indicating mitigation by SCM implementation. All metrics describing aquatic insect abundance and diversity metrics were negatively affected by urbanization, and SCM implementation had no effect on most of these metrics. Multivariate analyses revealed multiple stressors present in the urban streams, but conductivity explained most of the variance in insect assemblage composition across the study sites. Conductivity was strongly correlated with chloride concentrations, suggesting road salt is a source of elevated conductivity. Chloride concentrations exceeded established chronic and acute criteria in several urban streams, including 2 of the 3 urban-restored streams. These results document that the effects of urbanization in streams persist even after SCM implementation occurs. Ultimately, our research underscores the need for restoration designs to address multiple stressors that cause ecosystem degradation in urbanized streams.</t>
  </si>
  <si>
    <t>http://dx.doi.org/10.1086/706072</t>
  </si>
  <si>
    <t>Forest</t>
  </si>
  <si>
    <t>Urban-deg</t>
  </si>
  <si>
    <t>North American Coastal Plain</t>
  </si>
  <si>
    <t>Land use effects in riverscapes: Diversity and environmental drivers of stream fish communities in protected, agricultural and urban landscapes</t>
  </si>
  <si>
    <t>L.063</t>
  </si>
  <si>
    <t>L.063A</t>
  </si>
  <si>
    <t>Increasing agriculture and urbanization inevitably lead to changes in the biodiversity of stream ecosystems. However, few studies examined comprehensively how biodiversity is distributed within and among protected, agricultural and urban land use types in streams. We studied environmental characteristics of streams and patterns of species richness and other community attributes of stream fish communities in these three characteristic land use types in the catchment of the Danube River, Hungary. Land use separated streams to some degree based on their environmental characteristics. However, both between stream environmental and fish community variability were high in most types, and comparable to land use type level differences in case of many streams. A variety of environmental gradients influenced fish community structure rather independently of land use type, which was also influenced by spatial drivers. Non-native fishes modified the structure of native fish communities, especially in agricultural streams, although their modification effect varied more among individual streams than among land use types. In conclusion, land use type proved to be a poor predictor of fish communities in this human modified landscape. We found that even intensively managed areas (i.e. agricultural and urban) can contribute to the maintenance of fish diversity in this biogeographic region, or at least their potential can be comparable to those streams which flow in protected areas. Thus, conservation management should focus on maintaining streams in more natural condition in protected areas and/or use the potential of non-protected agricultural and urban streams in maintaining fish diversity in human modified landscapes.</t>
  </si>
  <si>
    <t>http://dx.doi.org/10.1016/j.ecolind.2019.01.063</t>
  </si>
  <si>
    <t>&gt;1000</t>
  </si>
  <si>
    <t>trans-regional</t>
  </si>
  <si>
    <t>Stream Benthic Macroinvertebrate Assemblages Reveal the Importance of a Recently Established Freshwater Protected Area in a Tropical Watershed</t>
  </si>
  <si>
    <t>S.3.1</t>
  </si>
  <si>
    <t>S.3.1A</t>
  </si>
  <si>
    <t>Unsustainable urbanization in the Indo-Pacific continues to threaten terrestrial and aquatic ecosystems due to habitat disturbances driven by human pressures. The Marikina Watershed, one of the most critical watersheds in the Philippines, has been exposed to economic and population growth resulting in landscape modification and water quality degradation. This led to establishment of the Upper Marikina River Basin Protected Landscape (UMRBPL) to rehabilitate the watershed ecosystem. To strengthen this conservation initiative, we aimed to assess whether the establishment of UMRBPL has been effective in conservation of benthic macroinvertebrate diversity in streams of the Marikina Watershed. Sixteen streams, eight from UMRBPL and eight from adjoining unprotected areas, were monitored for benthic macroinvertebrate assemblages and their habitat environments, such as pH, water temperature, dissolved oxygen, total dissolved solids, conductivity, salinity, and canopy openness. Principal component analysis and non-metric multidimensional scaling based on the environmental variables and biological metrics, respectively, revealed that habitat quality and benthic macroinvertebrate assemblages significantly differed between the protected and unprotected streams, with the former having better environment and higher biodiversity. More precisely, protected streams have significantly higher dissolved oxygen and lower canopy openness and material loadings as compared to unprotected streams. Consequently, taxon richness was four-fold higher in protected streams while stream quality indices based on abundance of key invertebrate groups (EPT and EPTC) were ten-fold higher in protected streams, as compared to unprotected streams. This study demonstrates that freshwater protected areas play crucial roles in the conservation of stream ecosystems and biodiversity under rapid urbanization in developing countries, like the Philippines.</t>
  </si>
  <si>
    <t>http://dx.doi.org/10.2984/73.3.1</t>
  </si>
  <si>
    <t>Philippines</t>
  </si>
  <si>
    <t>protected</t>
  </si>
  <si>
    <t>unprotected</t>
  </si>
  <si>
    <t>Microcrustacean metacommunities in urban temporary ponds</t>
  </si>
  <si>
    <t>M55-y</t>
  </si>
  <si>
    <t>M55-yA</t>
  </si>
  <si>
    <t>Microcrustaceans have a series of adaptations that allow their development in temporary aquatic environments. The colonization and consequent structuring of the communities in these systems is influenced by several environmental and spatial factors. Among them, urbanization is one of the important structuring factors of these communities. Metacommunity theory is an important tool for assessing how local (e.g. environment, competition and predation) and regional/spatial (e.g. dispersion) factors can influence the structure of communities distributed in patches in an area. We evaluated the diversity of the metacommunity of microcrustaceans in two categories of urban aquatic environments, preserved and constructed, looking for how the environmental and spatial factors influenced their diversity. We also sought to verify which beta diversity mechanism explained the dissimilarity between communities. We hypothesized that the richness of taxa would be greater in aquatic environments of preserved areas and in constructed areas there would be a loss of species, thus generating a beta diversity explained by the nestedness pattern. We sampled temporary environments in an urban area, eight in a preserved and six in a construction area. The results showed a clear difference between the two areas, both in environmental characteristics and in the composition of taxa. In relation to the richness of taxa, the areas did not present significant differences, thus rejecting our first hypothesis. The beta diversity was explained mainly by the turnover mechanism, refuting our second hypothesis. This pattern was mainly explained by the difference in the composition of taxa between the preserved and construction area environments.</t>
  </si>
  <si>
    <t>http://dx.doi.org/10.1007/s00027-019-0655-y</t>
  </si>
  <si>
    <t>Cladocera and Copepoda</t>
  </si>
  <si>
    <t>preserved</t>
  </si>
  <si>
    <t>construction</t>
  </si>
  <si>
    <t>The ecology of littoral zone Chironomidae in four artificial, urban, tropical Malaysian lakes</t>
  </si>
  <si>
    <t>T02-6</t>
  </si>
  <si>
    <t>T02-6A</t>
  </si>
  <si>
    <t>Urbanization is increasingly compromising lakes in the rapidly developing countries of tropical Southeast Asia. Greater understanding of the ecology of tropical lakes is essential in order to determine the best ways to protect and manage them. A comparison was made of the species richness, abundance and diets of Chironomidae in two forest lakes (both created by damming rivers - one in an urban forest reserve, one adjacent to an urban area) and two urban park lakes (ex- tin mine lakes) in Kuala Lumpur, Malaysia. 19 species of chironomids were recorded (10 collector-gatherers, one collector-filterer, one shredder, 3 predators and 4 predators/grazers). The most abundant species were Polypedilum leei, Tanytarsus formosanus, Zavreliella marmorata and Procladius sp.. Conductivity was highest in the urban park lakes due to pollution. Temperature was also highest in the urban park lakes due to lower riparian canopy cover and lower macrophyte abundance. Larval abundance (mostly collector-gathering Chironominae) was significantly higher in the forest lakes compared to the urban park lakes, which could be related to cleaner water and higher vegetation cover which provided more food resources (leaf litter and periphyton) and more microhabitats. Predatory tanypods were most abundant in forest lakes which also had the highest numbers of their prey (Chironominae). Four predatory species of Tanypodinae supplemented their diet with blue-green algae in two of the urban lakes. Only one collector-filterer (Corynoneura sp.) was recorded (only in the forest lakes).</t>
  </si>
  <si>
    <t>http://dx.doi.org/10.1007/s11252-018-0802-6</t>
  </si>
  <si>
    <t>KOTA+AMPANG</t>
  </si>
  <si>
    <t>SHAH+SUBANG</t>
  </si>
  <si>
    <t>The Influence of Riparian Corridor Land Use on the Pesqueria River's Macroinvertebrate Community (NE Mexico)</t>
  </si>
  <si>
    <t>T1930</t>
  </si>
  <si>
    <t>T1930A</t>
  </si>
  <si>
    <t>The Earth's freshwater ecosystems are currently under threat, particularly in developing countries. In Mexico, intensive land use and inadequate monitoring policies have resulted in the severe degradation of the country's freshwater ecosystems. This study assesses how the macroinvertebrate communities in the Pesqueria River, located in Northeastern Mexico, are affected by riparian land use, in order to determine their potential use as bioindicators to evaluate the macroinvertebrate integrity of the Pesqueria River. First, we characterized the land use cover in the riparian channel. Second, we sampled 16 sites for benthic macroinvertebrates along the main channel during the wet and dry seasons. Third, we evaluated the influence of the riparian channel land use on the macroinvertebrate community using 42 different biological metrics. The land use characterization depicted a riparian channel mainly influenced by agricultural and urban land use. Eighty-one invertebrate taxa were identified during the study. Permutational analysis of the variance analysis confirmed significant differences across the different land use classes and the macroinvertebrate community composition while no differences were found between seasons. The indicator species analysis revealed 31 representative taxa for natural land use, 1 for urban, and 4 for agricultural land use. Our modelling analysis showed that 28 of the 42 biological metrics tested responded significantly to land use disturbances, confirming the impact of land use changes on the Pesqueria River's macroinvertebrate communities and suggesting that these metrics may have a use as bioindicators. Finally, this study may provide significant biological information for further studies in similar conditions.</t>
  </si>
  <si>
    <t>http://dx.doi.org/10.3390/w11091930</t>
  </si>
  <si>
    <t>BSh</t>
  </si>
  <si>
    <t>Access to Natural Substrates in Urban Streams Does Not Counter Impoverishment of Macroinvertebrate Communities: a Comparison of Engineered and Non-engineered Reaches</t>
  </si>
  <si>
    <t>A54-0</t>
  </si>
  <si>
    <t>A54-0A</t>
  </si>
  <si>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</si>
  <si>
    <t>http://dx.doi.org/10.1007/s11270-018-4054-0</t>
  </si>
  <si>
    <t>Impacts of rapid urbanization on the water quality and macroinvertebrate communities of streams: A case study in Liangjiang New Area, China</t>
  </si>
  <si>
    <t>I.068</t>
  </si>
  <si>
    <t>I.068A</t>
  </si>
  <si>
    <t>Rapid urbanization in China has dramatically deteriorated the water quality of streams and threatening aquatic ecosystem health. This study aims to 1) assess the impacts of urbanization on water quality and macroinvertebrate composition and 2) address the question of how urbanization affects macroinvertebrate distribution patterns. Environmental variables over multispatial scales and macroinvertebrate community data were collected on April (dry season) and September (wet season) of 2014 and 2015 at 19 sampling sites, of which nine had a high urbanization level (HUL), six had moderate urbanization level (MUL) and four had low urbanization level (LUL), in the Liangjiang New Area. The results of this study showed that macroinvertebrate assemblages significantly varied across the three urbanization levels. The sensitive species (e.g., EPT taxa) were mainly centralized at LUL sites, whereas tolerant species, such as Tubificidae (17.3%), Chironomidae (12.1%), and Physidae (4.61%), reached highest relative abundance at LUL sites. The values of family biotic index (FBI) and biological monitoring working party (BMWP) indicated the deterioration of water quality along urbanization gradient. Seasonal and inter -annual changes in macroinvertebrate communities were not observed. The results of variation partitioning analyses (CCAs) showed that habitat scale variables explained the major variation in macroinvertebrate community composition. Specifically, the increased nutrient concentrations favored tolerant species, whereas high water flow and substrate coarseness benefitted community taxa richness, diversity and EPT richness. Considering the interactions between scale-related processes, the results of this study suggested that urbanization resulted in less diverse and more tolerant stream macroinvertebrate assemblages mainly via increased nutrient concentrations and reduced substrate coarseness. (C) 2017 Elsevier B.V. All rights reserved.</t>
  </si>
  <si>
    <t>http://dx.doi.org/10.1016/j.scitotenv.2017.10.068</t>
  </si>
  <si>
    <t>Impervious area percentage predicated influence of rapid urbanization on macroinvertebrate communities in a southwest China river system</t>
  </si>
  <si>
    <t>I.231</t>
  </si>
  <si>
    <t>I.231A</t>
  </si>
  <si>
    <t>Urban areas and their development depress water physicochemical properties, river habitats and aquatic biotic integrity world wide. Benthic macroinvertebrates at 61 sites representing three types of river reach locations (upstream rural areas, intermediate and downstream of urban areas) on the Liangtan River, a rapidly urbanized river with untreated sewage discharge in southwest China, were examined to compare their community composition and diversity. Their relationships with environmental variables were also explored. The results indicate a significant reduction in sensitive EPT (Ephemeroptera, Plecoptera and Trichoptera) species, dominance by a few tolerant taxa (Oligochaeta and Chironomidae), a significant decline in biodiversity and dominance of collector-gatherers at intermediate and downstream urban sites compared with aquatic macroinvertebrates at rural sites. The community composition of urban sites were different from those of rural sites and were quite similar to those of down stream sites, but maintained a much higher Oligochaeta density. The species-environment relation was predominately explained by the percentage of impervious area (PIA) and farmland at the catchment scale. At the local scale chemical oxygen demand (COD) and pH-value explained this relationship. Six community indicators, including richness, the Shannon-Wiener index, EPT(%), collector-filterers(%), scrapers(%) and collector-gatherers(%), had exponential relationships with PIA. Density of macroinvertebrates, Oligochaeta density, Oligochaeta(%), predator(%) and shredder(%) exhibited stepped threshold response patterns with PIA. Pielou's index had an approximately negative linear relationship with PIA. For exponential pattern, a threshold value of PIA between 10.6% and 14.4% was found. For stepped threshold response pattern, the first threshold was between 11.2% and 13.8%, and the second threshold was 23.8%. Our study indicates particularly great influences of urbanization with untreated sewage on macroinvertebrates and river ecosystems. PIA also showed to be a good indicator of urbanization and an accurate predictor of urban impacts on river macroinvertebrate integrity. (C) 2018 Elsevier B.V. All rights reserved.</t>
  </si>
  <si>
    <t>http://dx.doi.org/10.1016/j.scitotenv.2018.01.231</t>
  </si>
  <si>
    <t>Human Influence at the Coast: Upland and Shoreline Stressors Affect Coastal Macrofauna and Are Mediated by Salinity</t>
  </si>
  <si>
    <t>H47-6</t>
  </si>
  <si>
    <t>H47-6A</t>
  </si>
  <si>
    <t>Anthropogenic stressors can affect subtidal communities within the land-water interface. Increasing anthropogenic activities, including upland and shoreline development, threaten ecologically important species in these habitats. In this study, we examined the consequences of anthropogenic stressors on benthic macrofaunal communities in 14 subestuaries of Chesapeake Bay. We investigated how subestuary upland use (forested, agricultural, developed land) and shoreline development (riprap and bulkhead compared to marsh and beach) affected density, biomass, and diversity of benthic infauna. Upland and shoreline development were parameters included in the most plausible models among a candidate set compared using corrected Akaike's Information Criterion. For benthic macrofauna, density tended to be lower in subestuaries with developed or mixed compared to forested or agricultural upland use. Benthic biomass was significantly lower in subestuaries with developed compared to forested upland use, and biomass declined exponentially with proportion of near-shore developed land. Benthic density did not differ significantly among natural marsh, beach, and riprap habitats, but tended to be lower adjacent to bulkhead shorelines. Including all subestuaries, there were no differences in diversity by shoreline type. In low salinities, benthic Shannon (H') diversity tended to be higher adjacent to natural marshes compared to the other habitats, and lower adjacent to bulkheads, but the pattern was reversed in high salinities. Sediment characteristics varied by shoreline type and contributed to differences in benthic community structure. Given the changes in the infaunal community with anthropogenic stressors, subestuary upland and shoreline development should be minimized to increase benthic production and subsequent trophic transfer within the food web.</t>
  </si>
  <si>
    <t>http://dx.doi.org/10.1007/s12237-017-0347-6</t>
  </si>
  <si>
    <t>benthic macrofaunal(3mm)</t>
  </si>
  <si>
    <t>Aquatic Ecosystem Degradation of High Conservation Value Upland Swamps, Blue Mountains Australia</t>
  </si>
  <si>
    <t>A88-2</t>
  </si>
  <si>
    <t>A88-2A</t>
  </si>
  <si>
    <t>Temperate highland peat swamps on sandstone (THPSS) are unique state and federally protected ecological communities. THPSS is a higher level classification which is comprised of multiple swamp communities which include Blue Mountains Swamps and Newnes Plateau Shrub Swamps. The Blue Mountains has a string of urban settlements surrounded by large expanses of undisturbed natural vegetation which have varied degrees of protection ranging from state forests to World Heritage national parks. This study investigated aquatic invertebrates from seven THPSS within the Greater Blue Mountains area. Four swamps drain catchments with varying degrees of urban development and associated impervious surfaces, and three swamps have non-urban, naturally vegetated catchments. Water chemistry of non-urban swamps was acidic (mean pH 4.70) and dilute (mean EC 26.7 uS/cm) and dominated by sodium and chloride ions with most other major ions at low concentrations often below detection limits (Belmer et al. 2015). In contrast, urban swamps had higher pH (mean 6.60) and salinity (mean 153.9 uS/cm) and were dominated by calcium and bicarbonate ions (Belmer et al. 2015). Aquatic macroinvertebrate abundance, family richness and % EPT taxa were all found to be lower within urban swamps when compared to non-urban swamps. These results support the hypothesis of Belmer et al. (2015) that urban runoff within THPSS catchments is affecting the condition of their aquatic ecosystems.</t>
  </si>
  <si>
    <t>http://dx.doi.org/10.1007/s11270-018-3688-2</t>
  </si>
  <si>
    <t>Ecological drivers of cladoceran diversity in the central European city (Lodz, Poland): effects of urbanisation and size of the waterbody</t>
  </si>
  <si>
    <t>E0504</t>
  </si>
  <si>
    <t>E0504A</t>
  </si>
  <si>
    <t>Lodz, one of the largest cities in Poland, is characterized by the presence of a large number of artificial and natural waterbodies. It, therefore, offers a great opportunity to study ways in which urbanisation affects cladoceran fauna associated with urban areas. We hypothesize that size of the waterbody is more important for the diversity and composition of cladocerans in urban ponds than direct effects of urbanisation. To test this assumption we analysed 21 ponds of different size and location along the urbanisation gradient. Redundancy analysis (RDA) based on 17 environmental factors and urbanisation parameters showed that distance from the city centre, number of plant species and pH were the most important factors shaping cladoceran fauna in urban ponds of Lodz. Non-metric multidimensional scaling (NMDS) based on the Bray-Curtis formula demonstrated that pond size (depth and surface area) was reversely related to the level of urbanisation, i.e., larger and deeper waterbodies were generally found in the outer city zone. The effect of urbanisation, resulting in a lower number of species and lower abundance in ponds located in the central part of the city, was indirect and resulted from the lower number of large ponds in this zone.</t>
  </si>
  <si>
    <t>http://dx.doi.org/10.5735/086.054.0504</t>
  </si>
  <si>
    <t>Cladocera</t>
  </si>
  <si>
    <t>中等城市化强度的shannon最高</t>
  </si>
  <si>
    <t>Local and landscape scale determinants of macroinvertebrate assemblages and their conservation value in ponds across an urban land-use gradient</t>
  </si>
  <si>
    <t>L86-4</t>
  </si>
  <si>
    <t>L86-4A</t>
  </si>
  <si>
    <t>Urbanisation represents a growing threat to natural communities across the globe. Small aquatic habitats such as ponds are especially vulnerable and are often poorly protected by legislation. Many ponds are threatened by development and pollution from the surrounding landscape, yet their biodiversity and conservation value remain poorly described. Here we report the results of a survey of 30 ponds along an urban land-use gradient in the West Midlands, UK. We outline the environmental conditions of these urban ponds to identify which local and landscape scale environmental variables determine the biodiversity and conservation value of the macroinvertebrate assemblages in the ponds. Cluster analysis identified four groups of ponds with contrasting macroinvertebrate assemblages reflecting differences in macrophyte cover, nutrient status, riparian shading, the nature of the pond edge, surrounding land-use and the availability of other wetland habitats. Pond conservation status varied markedly across the sites. The richest macroinvertebrate assemblages with high conservation value were found in ponds with complex macrophyte stands and floating vegetation with low nutrient concentrations and little surrounding urban land. The most impoverished assemblages were found in highly urban ponds with hard-engineered edges, heavy shading and nutrient rich waters. A random forest classification model revealed that local factors usually had primacy over landscape scale factors in determining pond conservation value, and constitute a priority focus for management.</t>
  </si>
  <si>
    <t>http://dx.doi.org/10.1007/s10531-016-1286-4</t>
  </si>
  <si>
    <t>Urban Land use Affects Resident Fish Communities and Associated Salt Marsh Habitat in Alabama and West Florida, USA</t>
  </si>
  <si>
    <t>U02-8</t>
  </si>
  <si>
    <t>U02-8A</t>
  </si>
  <si>
    <t>Urban land-use has been shown to impact aquatic environments however not much is known about the effects of low to medium density residential development. Fish and associated habitat were sampled along 23 salt marshes (dominated by Juncus roemerianus) across three urban and three reference tidal creeks of Alabama and west-Florida. Reference creeks had very little surrounding development while urban creeks were surrounded by residential neighborhoods typical for the region. Fish were sampled seasonally for one year along the marsh-water edge using baited minnow traps. Tidal creeks and marsh edges were also surveyed for various environmental attributes including: marsh species composition, stem density and biomass, sediment contaminants, marsh slope, salinity, and water temperature. Urban creeks showed evidence of longer freshwater conditions and greater salinity fluctuation. Total fish abundance and biomass were significantly lower in urban marshes (10.1 +/- 1.3 fish trap(-1) and 34.8 +/- 5.1 g trap(-1)) compared to reference marshes (14.3 +/- 1.8 fish trap(-1) and 77.4 +/- 10.0 g trap(-1)). Based on nonmetric multidimensional scaling (NMDS), urban and reference fish assemblages were clearly clustered and correlated with salinity, marsh slope and sediment Cd concentration. These results suggest that marshes in urban-residential tidal creeks may support modified habitats compared to undeveloped creeks.</t>
  </si>
  <si>
    <t>http://dx.doi.org/10.1007/s13157-017-0902-8</t>
  </si>
  <si>
    <t>marsh</t>
  </si>
  <si>
    <t>Watershed urbanization affects macroinvertebrate community structure and reduces biomass through similar pathways in Piedmont streams, Georgia, USA</t>
  </si>
  <si>
    <t>W6614</t>
  </si>
  <si>
    <t>W6614A</t>
  </si>
  <si>
    <t>Watershed urbanization affects stream macroinvertebrate communities via multiple pathways, including chemical stressors, physical scour, and indirect biological effects such as altered food availability. Different metrics may respond differently to urbanization and may be affected by different pathways. We tested whether macroinvertebrate biomass, community composition, and biotic integrity exhibited consistent responses to watershed urbanization and responded to the same stressors. We quantified macroinvertebrate community composition by biomass and density and estimated aggregate total macroinvertebrate biomass, biomass by functional feeding group, aggregate taxon richness, and biotic indices at 12 sites in urban, suburban, mixed-use, and rural watersheds in the upper Oconee River basin, Georgia, USA. Watershed-scale land use, physicochemical stressors, and biological covariates explained significant variation (similar to 85%) in community structure based on density or biomass across sites; all 3 groups of variables contributed significantly in canonical correspondence analysis hierarchical models. Aggregate macroinvertebrate biomass was predicted by watershed % impervious surface cover (ISC) (-), conductivity and nutrient concentrations (-), and biological covariates (+). Watershed % ISC was as strongly or more strongly related to site-level community structure metrics (biotic indices, taxon richness; r(2) = 0.43-0.76) as it was to total macroinvertebrate biomass (r(2) = 0.52). Declines in biomass of sensitive and tolerant taxa occurred with increased % ISC, but were steeper for sensitive taxa. Watershed urbanization negatively affected macroinvertebrate biomass and community structure, which were explained by similar drivers. Such alterations in macro invertebrate communities, including reduced taxon richness and biomass, probably produce substantial changes to ecosystem function in urban streams.</t>
  </si>
  <si>
    <t>http://dx.doi.org/10.1086/686614</t>
  </si>
  <si>
    <t>Comparison of decapod communities across an urban-forest land use gradient in Puerto Rican streams</t>
  </si>
  <si>
    <t>C90-4</t>
  </si>
  <si>
    <t>C90-4A</t>
  </si>
  <si>
    <t>Urbanization influences a range of factors related to stream health, including the hydrologic regime, water quality, and riparian conditions that lead to negative effects on terrestrial and aquatic ecosystems. However, impacts on freshwater decapods from urbanization of tropical streams have not been reported. We hypothesized that changes in decapod communities in watersheds with different levels of urbanization are related to changes in physical stream habitats caused by different land uses and their effects on water discharge. The impacts of land use on the physico-chemical characteristics of streams and freshwater decapod communities were evaluated in three watersheds characterized by low, moderate and high-intensities of urbanization in Puerto Rico. For the low and moderately developed urban watersheds, decapod species richness ranged from 10 to 11 species; the highly urbanized watershed only had 4 species. Macrobrachium faustinum and Xiphocaris elongata were the most ubiquitously species and were found in all watersheds. Multivariable analysis of physical characteristics and densities of the decapod families resulted in one axis that explained 80 % of the total variation among the watersheds and was correlated with stream discharge. The effect of discharge is likely a result of frequent high flows that sustain habitats with high concentrations of dissolved oxygen and low concentrations of pollutants. An increase in physico-chemical parameters were observed from the LUW to the HUW. These results indicate that the decapod communities were most likely influenced by land use and environmental conditions that affected erosional aspects related to water discharge and water quality in the highly impacted watersheds.</t>
  </si>
  <si>
    <t>http://dx.doi.org/10.1007/s11252-015-0490-4</t>
  </si>
  <si>
    <t>decapod</t>
  </si>
  <si>
    <t>High Rainfall</t>
  </si>
  <si>
    <t>Low Rainfall</t>
  </si>
  <si>
    <t>Urbanization effects on the composition and structure of macrophytes communities in a lotic ecosystem of Pernambuco State, Brazil</t>
  </si>
  <si>
    <t>U3515</t>
  </si>
  <si>
    <t>U3515A</t>
  </si>
  <si>
    <t>Population growth in urban areas changes freshwater ecosystems, and this can have consequences for macrophyte communities as can be seen in the municipalities that border the Capibaribe River, Pernambuco, Brazil. This study reports the effects of urbanization on the composition and structure of macrophyte communities in areas along that river. The following urbanized and non-urbanized sampling sites were chosen: Sites 1 and 2 (municipality of Santa Cruz do Capibaribe), Sites 3 and 4 (municipality of Toritama), and Sites 5 and 6 (metropolitan region of Recife). These sites were visited every two months from January to July 2013 to observe seasonal variation (wet and dry seasons). Thirty-one species were identified. Generally, the non-urbanized sites had a higher number of species. Multivariate analyses indicated significant overall differences between urbanized and non-urbanized areas (R = 0.044; p &lt; 0.001) and between seasons (R = 0.018; p &lt; 0.019). Owing to the large variation in physical, chemical, and biological characteristics between urbanized and non-urbanized areas, we found that urbanization significantly influenced the floristic composition and structure of macrophyte communities.</t>
  </si>
  <si>
    <t>http://dx.doi.org/10.1590/1519-6984.03515</t>
  </si>
  <si>
    <t>The ecological response of insectivorous bats to coastal lagoon degradation</t>
  </si>
  <si>
    <t>T.014</t>
  </si>
  <si>
    <t>T.014A</t>
  </si>
  <si>
    <t>Coastal lagoons provide key habitat for a wide range of biota but are often degraded by intense urbanization pressures. Insectivorous bats use these highly productive ecosystems and are likely to be impacted by their decline in quality. We compared bat activity and richness and invertebrate biomass and richness across a gradient of lagoon quality (9 lagoons) in the Greater Sydney region, Australia to determine the extent to which bats and their prey were impacted by lagoon degradation. Bats were more diverse and 19 times more active at higher quality lagoons. The trawling bat, Myotis macropus, was absent from all low quality lagoons, but these lagoons were used by other species such as Miniopterus schreibersii oceanensis. Invertebrate richness and biomass did not differ significantly across lagoon quality. We examined potential mechanisms of insectivorous bat decline at degraded lagoons by measuring toxic metal concentrations in bat fur, invertebrates and sediment. Lead and zinc were detected at environmentally significant levels in the sediments of lower quality lagoons. Furthermore, lead concentrations were 6 times the lowest observable adverse effects level for small mammals in the hair of one individual M. macropus. The present study demonstrates that coastal lagoons support a rich bat community, but ongoing development and pollution of these habitats is likely to negatively impact on insectivorous bat species, especially trawling species. (C) 2016 Elsevier Ltd. All rights reserved.</t>
  </si>
  <si>
    <t>http://dx.doi.org/10.1016/j.biocon.2016.08.014</t>
  </si>
  <si>
    <t>benthic invertebrate</t>
  </si>
  <si>
    <t>saltwater inlet</t>
  </si>
  <si>
    <t>T.014B</t>
  </si>
  <si>
    <t>intermediate</t>
  </si>
  <si>
    <t>T.014C</t>
  </si>
  <si>
    <t>freshwater outlet</t>
  </si>
  <si>
    <t>Diatoms are better indicators of urban stream conditions: A case study in Beijing, China</t>
  </si>
  <si>
    <t>D.039</t>
  </si>
  <si>
    <t>D.039A</t>
  </si>
  <si>
    <t>Urbanization dramatically affects hydrology, water quality and aquatic ecosystem composition. Here we characterized changes in diatom assemblages along an urban-to-rural gradient to assess impacts of urbanization on stream conditions in Beijing, China. Diatoms, water chemistry, and physical variables were measured at 22 urban (6 in upstream and 16 in downstream) and 7 rural reference stream sites during July and August of 2013. One-way ANOVA showed that water physical and chemical variables were significantly different (p &lt; 0.05) between urban downstream and both reference and urban upstream sites, but not between reference and urban upstream sites (p &gt; 0.05). Similarly, structural metrics, including species richness (S), Shannon diversity (H'), species evenness (J') and Simpson diversity (D'), were significantly different (p &lt;0.05) between urban downstream and both reference and urban upstream sites, but not (p &gt; 0.05) between reference and urban upstream sites. However, diatom assemblages were very different among all sites. Achnanthidium minutissima was a consistent dominant species in reference sites; Staurosira construens var. venter and Pseudostaurosira brevistriata were the dominant species in urban upstream sites; and Nitzschia palea was the dominant species in urban downstream sites. Clustering analyses based on the relative abundance of diatom species, showed all the samples fit into three groups: reference sites, urban upstream sites, and urban downstream sites. Canonical correspondence analysis (CCA) and Monte Carlo permutation tests showed that concentration of K+, EC, TN, Cl- and pH were positively correlated with relative abundance of dominant diatom species in urban downstream samples; WT and F- were correlated with reference and urban stream diatom composition. Our results demonstrate that the composition of diatom species was more sensitive to urbanization than the water physical and chemical parameters, and that diatom assemblage structure metrics more accurately assessed water quality. Some species, such as Amphora pediculus and Cocconeis placentula were among the dominant species in low nutrients stream sites; however, they were considered to be high nutrient indicators in some streams in USA. We suggest using caution in applying indicator indices based on species composition from other regions. It is necessary to build a complete set of diatom species data and their co-ordinate environment data for specific regions. (C) 2015 Elsevier Ltd. All rights reserved.</t>
  </si>
  <si>
    <t>http://dx.doi.org/10.1016/j.ecolind.2015.06.039</t>
  </si>
  <si>
    <t>Assessment of the Abundance and Diversity of Calliphoridae and Sarcophagidae (Diptera) in Sites With Different Degrees of Human Impact in the Ibera Wetlands (Argentina)</t>
  </si>
  <si>
    <t>Aw045</t>
  </si>
  <si>
    <t>Aw045A</t>
  </si>
  <si>
    <t>The aim of the present study was to explore the diversity and describe the spatial distribution of Calliphoridae and Sarcophagidae along an urbanization gradient in the Ibera Wetlands. The flies were collected at 18 sampling points, three per site. In total, 3,318 flies were collected (3,077 blow flies and 241 flesh flies), distributed in 13 genera and 33 species. Calliphoridae was the most abundant, comprised 92.74% of all adult flies. Chrysomya albiceps (Wiedemann), Cochliomyia macellaria (F.), Chrysomya megacephala (F.), and Chrysomya putoria (Wiedemann) were the most abundant species, representing 82.21% of the total sample. The genus Oxysarcodexia Townsend was the most diverse with 10 species represented. The abundance of exotic species represents 62.85% of the total sample, showing a reduction toward less disturbed sites. The results of this study indicated that sites with intermediate impact had higher diversity than those where the disturbances are high or absent. Our findings provide the first assessment of Calliphoridae and Sarcophagidae diversity in the area of the Ibera Wetlands.</t>
  </si>
  <si>
    <t>http://dx.doi.org/10.1093/jme/tjw045</t>
  </si>
  <si>
    <t>Calliphoridae/Sarcophagidae</t>
  </si>
  <si>
    <t>Human development modifies the functional composition of lake littoral invertebrate communities</t>
  </si>
  <si>
    <t>H27-5</t>
  </si>
  <si>
    <t>H27-5A</t>
  </si>
  <si>
    <t>Residential shoreline and watershed development by humans are leading agents of environmental change in lake ecosystems that reduce abundances and diversity of littoral invertebrates. Invertebrate functional and life history traits are robust indicators of environmental quality and ecosystem functioning, yet surprisingly few studies have utilized trait-based approaches to assess impacts of human development to lake littoral communities. We assessed environmental characteristics of human development that impact functional diversity and structure the trait composition of invertebrate communities in lakes of northwestern United States. Multiple linear regressions revealed that functional diversity declined with increasing watershed development, lake total phosphorus, and littoral macrophyte cover. Results from multivariate constrained ordination and fourth corner analysis indicated that high phosphorus concentrations and abundant macrophyte cover removed taxa with semivoltine life histories and filter feeders from lake communities, and that both regional ecosystem and local habitat characteristics of human development were important determinants of invertebrate community structure. Human development had particularly pronounced effects on invertebrate communities in the sublittoral zone, for which overall community abundances declined. Our study indicates that human development favors lake communities dominated by multivoltine taxa and herbivores, which may have important implications for energy flow among terrestrial, littoral, and pelagic food webs.</t>
  </si>
  <si>
    <t>http://dx.doi.org/10.1007/s10750-016-2727-5</t>
  </si>
  <si>
    <t>eulittooral</t>
  </si>
  <si>
    <t>H27-5B</t>
  </si>
  <si>
    <t>sublittoral</t>
  </si>
  <si>
    <t>Using macroinvertebrates for ecosystem health assessment in semi-arid streams of Burkina Faso</t>
  </si>
  <si>
    <t>U43-6</t>
  </si>
  <si>
    <t>U43-6A</t>
  </si>
  <si>
    <t>Efficient monitoring tools for the assessment of stream ecosystem response to urbanization and agricultural land use are urgently needed but still lacking in West Africa. This study investigated taxonomic and functional composition of macroinvertebrate communities at 29 sites, each exhibiting one of four disturbance levels ['protected' (P), 'extensive agriculture', 'intensive agriculture' (IA) and 'urban' (U)] in Burkina Faso and explored their potential for bioassessment. We recorded a total of 100 taxa belonging to 58 families, with the highest richness (16.9 taxa per site) observed in the sites with IA and lowest (3.4 taxa) in U sites. We found a gradual decrease of sensitive Ephemeroptera, Plecoptera and Trichoptera taxa and of collector-filterers feeding guild between P, agricultural and U sites accompanied by an increase in the relative abundance of tolerant dipteran taxa. Measures of overall taxonomic richness and diversity were mostly efficient in detecting the high impoverishment of the U sites, while FFG ratios did not deliver consistent results. Finally, all four land use types were successfully distinguished by identifying indicator taxa through hierarchical clustering and indicator value index. This work produced an unprecedented faunal inventory of Burkina Faso streams and laid the basis for the development of urgently needed stream assessment tools.</t>
  </si>
  <si>
    <t>http://dx.doi.org/10.1007/s10750-015-2443-6</t>
  </si>
  <si>
    <t>Burkina Faso</t>
  </si>
  <si>
    <t>Low-income</t>
  </si>
  <si>
    <t>Effects of Land Use on the Composition and Structure of Aquatic Invertebrate Community and Leaf Breakdown Process in Neotropical Streams</t>
  </si>
  <si>
    <t>E3031</t>
  </si>
  <si>
    <t>E3031A</t>
  </si>
  <si>
    <t>Different land uses directly affect the characteristics of a river basin and influence the aquatic biota and ecosystem processes. This study aimed to analyse the community structure and composition of aquatic invertebrates and the role of these organisms in the process of leaf litter breakdown in streams with different land uses. The study was conducted from September to December 2013 in five streams in the Neotropical region. At each stream, we placed 18 bags containing litter for colonization by aquatic invertebrates, and the bags were collected at different exposure times (5, 30, 45, 60, 75 and 90days). We registered spatial differences in the aquatic invertebrate community structure and composition. There were no significant differences in the activity of invertebrates in the leaf litter breakdown process among streams with different land uses. However, the variability in mass decay rate was lower for the reference stream. This result may have been influenced by habitat quality, availability of organic matter and the structure and composition of benthic community present in the reference stream, which differs significantly among locations with different types of land use. The results of this study shows that human activities, particularly agriculture and urbanization, modify the structure and composition of the benthic community and acts on ecosystem processes, especially in the variability of the processing of allochthonous material invertebrates. However, we reject the hypothesis that land use negatively influences the decomposition of litter, measured by weight loss. Copyright (c) 2016 John Wiley &amp; Sons, Ltd.</t>
  </si>
  <si>
    <t>http://dx.doi.org/10.1002/rra.3031</t>
  </si>
  <si>
    <t>aquatic macroinvertebrate</t>
  </si>
  <si>
    <t>Reference</t>
  </si>
  <si>
    <t>Plant assemblage and diversity variation with human disturbances in coastal habitats of the western Arabian Gulf</t>
  </si>
  <si>
    <t>P84-x</t>
  </si>
  <si>
    <t>P84-xA</t>
  </si>
  <si>
    <t>Knowledge about plant diversity along disturbance gradients is essential for conservation and management of fragmented coastal habitats. This study examined the effects of human disturbance intensity in coastal habitats of Kuwait on diversity, composition, identity and assemblage of vascular plant species. Plant survey data from 113 plots (5 mx5 m each) were randomly selected in 51 sites at coastal fragmented habitats at three levels of disturbance intensities (high, moderate and low) and were statistically analyzed. The results revealed that about 76% of the recorded species are considered threatened species in Kuwait, most of which are being lost in high disturbed habitats. Disturbance led to the dominance of Zygophyllum qatarense, Cornulaca aucheri and Salsola imbricata, which are species of disturbance indicators. Richness, total plant cover and species diversity were higher in moderate and low disturbed habitats than in high disturbed habitats. Beta diversity between high and low disturbed habitats was higher than either between high and moderate, or between moderate and low disturbed habitats. Cluster analyses showed statistically significant differences in composition of plant assemblages, which indicate high beta diversity between the habitat types. Intensive urbanization and industrialization are among the most serious threats that contribute to declines in biological diversity and rapid fragmentation of coastal habitats in Kuwait. Establishing protective enclosures in the disturbed habitats, planting endangered and vulnerable species, and establishing a natural reserve at Nuwaiseeb are recommended conservation actions to avoid loss of the fragmented coastal habitats and to facilitate restoration of native plants.</t>
  </si>
  <si>
    <t>http://dx.doi.org/10.1007/s40333-016-0084-x</t>
  </si>
  <si>
    <t>Kuwait</t>
  </si>
  <si>
    <t>BWh</t>
  </si>
  <si>
    <t>Northern Africa and Western Asia</t>
  </si>
  <si>
    <t>中等disturbance的地点shannon和species richness 最高</t>
  </si>
  <si>
    <t>The influence of urbanisation on macroinvertebrate biodiversity in constructed stormwater wetlands</t>
  </si>
  <si>
    <t>T.066</t>
  </si>
  <si>
    <t>T.066A</t>
  </si>
  <si>
    <t>The construction of wetlands in urban environments is primarily carried out to assist in the removal of contaminants from wastewaters; however, these wetlands have the added benefit of providing habitat for aquatic invertebrates, fish and waterbirds. Stormwater quantity and quality is directly related to impervious area (roads, sealed areas, roofs) in the catchment. As a consequence, it would be expected that impervious area would be related to contaminant load and biodiversity in receiving waters such as urban wetlands. This study aimed to establish whether the degree of urbanisation and its associated changes to stormwater runoff affected macroinvertebrate richness and abundance within constructed wetlands. Urban wetlands in Melbourne's west and south east were sampled along a gradient of urbanisation. There was a significant negative relationship between total imperviousness (TI) and the abundance of aquatic invertebrates detected for sites in the west, but not in the south east. However macroinvertebrate communities were relatively homogenous both within and between all study wetlands. Chironomidae (non-biting midges) was the most abundant family recorded at the majority of sites. Chironomids are able to tolerate a wide array of environmental conditions, including eutrophic and anoxic conditions. Their prevalence suggests that water quality is impaired in these systems, regardless of degree of urbanisation, although the causal mechanism is unclear. These results show some dependency between receiving wetland condition and the degree of urbanisation of the catchment, but suggest that other factors may be as important in determining the value of urban wetlands as habitat for wildlife. (C) 2015 Elsevier B.V. All rights reserved.</t>
  </si>
  <si>
    <t>http://dx.doi.org/10.1016/j.scitotenv.2015.07.066</t>
  </si>
  <si>
    <t>constructed stormwater wetlands</t>
  </si>
  <si>
    <t>T.066B</t>
  </si>
  <si>
    <t>Urban mires as hotspots of epigaeic arthropod diversity</t>
  </si>
  <si>
    <t>U90-9</t>
  </si>
  <si>
    <t>U90-9A</t>
  </si>
  <si>
    <t>Natural habitats are lost and fragmented by urbanization globally, resulting in isolated urban remnants of low biodiversity, devoid of specialist species. This homogenization of the urban landscape can be redressed if urban biodiversity hotspots are identified and conserved. Mires have the potential of being such refuges, since they host many mire specialist species of, e.g. arthropods. Here we investigated twenty pine mires that differed in urbanization level (low, intermediate and high) in southern Finland by evaluating the responses of carabid beetle and spider species and communities to potential landscape (level of urbanization, total mire area) and local (pH of peat, vegetation cover, wood volume) drivers. Pitfall trapping was used to collect the arthropods. We showed that high levels of urbanization have a negative effect on mire arthropod biodiversity. However, urban mire community structure seems not to be very different from rural communities as urban mires are still inhabited by mire specialists. Furthermore, tree-covered parts of urbanized mires can serve as refuges for rare forest specialist species and Sphagnum mosses play an important role in supporting mire species and communities, thus Sphagnum growth should be promoted. We showed that urban mires can be considered urban biodiversity hotspots and their protection should be secured in urban development.</t>
  </si>
  <si>
    <t>http://dx.doi.org/10.1007/s10531-015-0990-9</t>
  </si>
  <si>
    <t>Dfc</t>
  </si>
  <si>
    <t>mire</t>
  </si>
  <si>
    <t>Carabid beetle</t>
  </si>
  <si>
    <t>Urbanization affects food webs and leaf-litter decomposition in a tropical stream in Malaysia</t>
  </si>
  <si>
    <t>U1252</t>
  </si>
  <si>
    <t>U1252A</t>
  </si>
  <si>
    <t>Urbanization is occurring rapidly in southeastern Asia where streams are increasingly pressured. We assessed the ecological integrity of Ampang River in Kuala Lumpur by comparing structural and functional measures between forested and urban sites. We assessed 4 forested, 1 intermediate (deforested, not channelized), and 5 urban, channelized sites. Urbanization altered substrate (concrete at urban sites), riparian vegetation, light, temperature, O-2, conductivity, nutrients, and major ion levels, and simplified food webs. Invertebrate composition shifted from pollution-intolerant taxa at forested sites to tolerant taxa at urban sites. Richness in Surber samples was 56 species at forested sites and 27 taxa at urban sites. Basal food sources at forested sites were leaf litter and biofilm, whereas at urban sites they were a sediment mat comprising organic matter, cyanobacteria, iron bacteria, and algae. Organic matter biomass on ceramic tiles was greater at urban than forested sites, but chlorophyll a was not. Faunal abundance was greater in litter bags at urban (mean = 72.6 animals/bag, 68% chironomids) than at forested sites (27.9 animals/bag; 33% chironomids), but species richness was higher in forested sites. Food webs at forested sites were more complex and differed from those at urban sites, which lacked shredders, and grazers differed in taxonomic composition and diet between urban and forested sites. At forested sites, insect larvae grazed biofilm, whereas at urban sites, snails consumed the organic mat. Leaf decomposition was fastest at the most disturbed site indicating rapid microbial decomposition caused by increased temperatures (+4.5 degrees C) and nutrients, and possibly increased physical breakdown caused by rapid flow carrying abrasive sediment and garbage. Urbanization has had severe impacts on ecosystem function in Ampang River that could be alleviated by preventing pollution, restoring riparian vegetation, and providing natural substrate.</t>
  </si>
  <si>
    <t>http://dx.doi.org/10.1086/681252</t>
  </si>
  <si>
    <t>forest</t>
  </si>
  <si>
    <t>A unique assemblage of cosmopolitan freshwater bacteria and higher community diversity differentiate an urbanized estuary from oligotrophic Lake Michigan</t>
  </si>
  <si>
    <t>A1028</t>
  </si>
  <si>
    <t>A1028A</t>
  </si>
  <si>
    <t>Water quality is impacted significantly by urbanization. The delivery of increased nutrient loads to waterways is a primary characteristic of this land use change. Despite the recognized effects of nutrient loading on aquatic systems, the influence of urbanization on the bacterial community composition of these systems is not understood. We used massively-parallel sequencing of bacterial 16S rRNA genes to examine the bacterial assemblages in transect samples spanning the heavily urbanized estuary of Milwaukee, WI to the relatively un-impacted waters of Lake Michigan. With this approach, we found that genera and lineages common to freshwater lake epilimnia were common and abundant in both the high nutrient, urban-impacted waterways, and the low nutrient Lake Michigan. Although the two environments harbored many taxa in common, we identified a significant change in the community assemblage across the urban-influence gradient, and three distinct community features drove this change. First, we found the urban-influenced waterways harbored significantly greater bacterial richness and diversity than Lake Michigan (i.e., taxa augmentation). Second, we identified a shift in the relative abundance among common freshwater lineages, where ad, acTH1, Algoriphagus and LD12, had decreased representation and Limnohabitans, Polynucleobacter, and Rhodobacter had increased representation in the urban estuary. Third, by oligotyping 18 common freshwater genera/lineages, we found that oligotypes (highly resolved sequence clusters) within many of these genera/lineages had opposite preferences for the two environments. With these data, we suggest many of the defined cosmopolitan freshwater genera/lineages contain both oligotroph and more copiotroph species or populations, promoting the idea that within-genus lifestyle specialization, in addition to shifts in the dominance among core taxa and taxa augmentation, drive bacterial community change in urbanized waters.</t>
  </si>
  <si>
    <t>http://dx.doi.org/10.3389/fmicb.2015.01028</t>
  </si>
  <si>
    <t>Lake Michigan</t>
  </si>
  <si>
    <t>Urban Estuary</t>
  </si>
  <si>
    <t>What does impacted look like? High diversity and abundance of epibiota in modified estuaries</t>
  </si>
  <si>
    <t>W.017</t>
  </si>
  <si>
    <t>W.017A</t>
  </si>
  <si>
    <t>Ecosystems modified by human activities are generally predicted to be biologically impoverished. However, much pollution impact theory stems from laboratory or small-scale field studies, and few studies replicate at the level of estuary. Furthermore, assessments are often based on sediment contamination and infauna, and impacts to epibiota (sessile invertebrates and algae) are seldom considered. We surveyed epibiota in six estuaries in south-east Australia. Half the estuaries were relatively pristine, and half were subject to internationally high levels of contamination, urbanisation, and industrialisation. Contrary to predictions, epibiota in modified estuaries had greater coverage and were similarly diverse as those in unmodified estuaries. Change in epibiota community structure was linearly correlated with sediment-bound copper, and the tubeworm Hydroides elegans showed a strong positive correlation with sediment metals. Stressors such as metal contamination can reduce biodiversity and productivity, but others such as nutrient enrichment and resource provision may obscure signals of impact. (C) 2014 Elsevier Ltd. All rights reserved.</t>
  </si>
  <si>
    <t>http://dx.doi.org/10.1016/j.envpol.2014.09.017</t>
  </si>
  <si>
    <t>sessile invertebrate</t>
  </si>
  <si>
    <t>PH+JB+CL</t>
  </si>
  <si>
    <t>BB+PJ+PK</t>
  </si>
  <si>
    <t>Riverine Landscape Patch Heterogeneity Drives Riparian Ant Assemblages in the Scioto River Basin, USA</t>
  </si>
  <si>
    <t>R4807</t>
  </si>
  <si>
    <t>R4807A</t>
  </si>
  <si>
    <t>Although the principles of landscape ecology are increasingly extended to include riverine landscapes, explicit applications are few. We investigated associations between patch heterogeneity and riparian ant assemblages at 12 riverine landscapes of the Scioto River, Ohio, USA, that represent urban/developed, agricultural, and mixed (primarily forested, but also wetland, grassland/fallow, and exurban) land-use settings. Using remotely-sensed and ground-collected data, we delineated riverine landscape patch types (crop, grass/herbaceous, gravel, lawn, mudflat, open water, shrub, swamp, and woody vegetation), computed patch metrics (area, density, edge, richness, and shape), and conducted coordinated sampling of surface-active Formicidae assemblages. Ant density and species richness was lower in agricultural riverine landscapes than at mixed or developed reaches (measured using S [total number of species], but not using Menhinick's Index [D-M]), whereas ant diversity (using the Berger-Park Index [D-BP]) was highest in agricultural reaches. We found no differences in ant density, richness, or diversity among internal riverine landscape patches. However, certain characteristics of patches influenced ant communities. Patch shape and density were significant predictors of richness (S: R-2 = 0.72; D-M: R-2 = 0.57). Patch area, edge, and shape emerged as important predictors of D-BP (R-2 = 0.62) whereas patch area, edge, and density were strongly related to ant density (R-2 = 0.65). Non-metric multidimensional scaling and analysis of similarities distinguished ant assemblage composition in grass and swamp patches from crop, gravel, lawn, and shrub as well as ant assemblages in woody vegetation patches from crop, lawn, and gravel (stress = 0.18, R-2 = 0.64). These findings lend insight into the utility of landscape ecology to river science by providing evidence that spatial habitat patterns within riverine landscapes can influence assemblage characteristics of riparian arthropods.</t>
  </si>
  <si>
    <t>http://dx.doi.org/10.1371/journal.pone.0124807</t>
  </si>
  <si>
    <t>ant</t>
  </si>
  <si>
    <t>Effect of land use on the composition, diversity and abundance of insects drifting in neotropical streams</t>
  </si>
  <si>
    <t>E3914</t>
  </si>
  <si>
    <t>E3914A</t>
  </si>
  <si>
    <t>Streams may exhibit differences in community structure of invertebrate drift, which may be a reflex of variation in environmental factors, able to change in conditions of anthropogenic interventions. The aim of this study was to analyze the composition, diversity and abundance of insects drifting in two neotropical streams under different land use and to identify the environmental factors involved in determining such patterns. 54 taxa of aquatic insects were identified in urban and rural streams. The results indicated significant differences in species composition due to the replacement of specialist species by generalist species in the urban stream. Higher diversity of taxa was recorded in the rural stream, with high levels of dissolved oxygen and high water flow, which favored the occurrence of sensitive groups to environmental disturbances, such as Ephemeroptera, Plecoptera, Trichoptera and Coleoptera taxa, that living mainly in clean and well oxygenated waters. On the other hand, a higher density of insects drifting, especially Chironomidae, was observed in the urban stream, where high values of pH, electrical conductivity and nitrogen were observed. These larvae are able to explore a wide range of environmental conditions, owing to their great capacity for physiological adaptation. Despite observing the expected patterns, there were no significant differences between streams for the diversity and abundance of species. Thus, the species composition can be considered as the best predictor of impacts on the drifting insect community.</t>
  </si>
  <si>
    <t>http://dx.doi.org/10.1590/1519-6984.03914</t>
  </si>
  <si>
    <t>Responses of the ichthyofauna to urbanization in two urban areas in Southeast Brazil</t>
  </si>
  <si>
    <t>R52-5</t>
  </si>
  <si>
    <t>R52-5A</t>
  </si>
  <si>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</si>
  <si>
    <t>http://dx.doi.org/10.1007/s11252-014-0352-5</t>
  </si>
  <si>
    <t>NU</t>
  </si>
  <si>
    <t>U</t>
  </si>
  <si>
    <t>The macroinvertebrate biodiversity and conservation value of garden and field ponds along a rural-urban gradient</t>
  </si>
  <si>
    <t>T0612</t>
  </si>
  <si>
    <t>T0612A</t>
  </si>
  <si>
    <t>The biodiversity and conservation value of semi-natural and field ponds in rural locations are widely acknowledged to be high compared to other freshwater habitats. However, the wider value of urban ponds, and especially garden ponds, has been largely neglected in comparison. This study examines the biodiversity and conservation value of aquatic macroinvertebrates in ponds along an urban-rural continuum over three seasons. Macro-invertebrate faunal richness and diversity of garden ponds (in both urban and sub-urban locations) was markedly lower than that associated with field ponds. The fauna recorded in garden ponds were largely a subset of the taxa recorded in the wider landscape. A total of 146 taxa were recorded from the 26 ponds examined (135 taxa from field ponds and 44 taxa from garden ponds); although only 10 taxa were unique to garden ponds. Garden ponds were frequently managed (macrophytes removed or sediment dredged) and contained artificial fountains or flowing water features which allowed a number of flowing water (lotic) taxa to colonise and persist. Despite the relatively limited faunal diversity and reduced conservation value of garden ponds they have the potential to serve as refugia for some taxa, especially Odonata with highly mobile adults. At the landscape scale, garden ponds provide a diverse and abundant range of freshwater habitats that could play an important role in conserving urban-macroinvertebrate biodiversity. However, for this to be achieved there is a need to provide guidance to home-owners on how this potentially valuable resource can help support freshwater biodiversity.</t>
  </si>
  <si>
    <t>http://dx.doi.org/10.1127/fal/2014/0612</t>
  </si>
  <si>
    <t>Urbanization and wetland communities: applying metacommunity theory to understand the local and landscape effects</t>
  </si>
  <si>
    <t>U2022</t>
  </si>
  <si>
    <t>U2022A</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</si>
  <si>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t>
  </si>
  <si>
    <t>http://dx.doi.org/10.1111/1365-2664.12022</t>
  </si>
  <si>
    <t>0.05-2ha wetland</t>
  </si>
  <si>
    <t>Environmental factors associated with fish distribution in an urban neotropical river (Upper Tiete River Basin, Sao Paulo, Brazil)</t>
  </si>
  <si>
    <t>E24-3</t>
  </si>
  <si>
    <t>E24-3A</t>
  </si>
  <si>
    <t>The rivers and streams of the large urban centers in Southeast Brazil are increasingly being degraded, demanding expanded conservation efforts. This study was conducted in the Grande River, one of the main tributaries of the Billings Complex, a reservoir that is a strategic fresh water resource for the So Paulo metropolitan region. Water quality, habitat features and fish fauna were investigated at seven sites along the longitudinal gradient with the aim of identifying the distribution patterns and relative contributions of the environmental factors. The water samples and environmental characteristics were recorded, and fish were collected during the rainy (January to March) and dry seasons (July and August) of 2009. The water quality varied along the river, with higher values of conductivity, fecal coliforms and total phosphorus in the lower reach, indicating a strong influence of the urban area. Twenty-two fish species were recorded, two of which are considered endangered. A canonical correspondence analysis (CCA) indicated marked differences in species composition between the river's upper and lower reaches, which was mainly attributed to vegetation cover and the presence of different meso-habitats, such as riffles and pools. Trychomycterus spp. and Astyanax paranae were associated with the upper reaches, while Astyanax fasciatus and Astyanax bockmanni, Cyphocharax modestus, Hoplias malabaricus and Hypostomus ancistroides occurred in the lower reaches. Despite the disturbance in water quality and riparian vegetation in the lower river section, no detectable changes in community structure were observed. However, the presence of some tolerant species, such as Astyanax fasciatus, Hoplosternum littorale and Hypostomus ancistroides, may indicate that the community is experiencing initial stages of disturbance.</t>
  </si>
  <si>
    <t>http://dx.doi.org/10.1007/s10641-012-0024-3</t>
  </si>
  <si>
    <t>rainy</t>
  </si>
  <si>
    <t>Effects of abiotic variables on the distribution of fish assemblages in streams with different anthropogenic activities in southern Brazil</t>
  </si>
  <si>
    <t>E0018</t>
  </si>
  <si>
    <t>E0018A</t>
  </si>
  <si>
    <t>Studies on fish assemblages in streams point out, that understanding the relationship between species and their environment is crucial for conservation. The present study aimed at evaluating the effects of changes in abiotic variables on the composition and structure of fish assemblages in Neotropical urban streams from southern Brazil with different levels of urbanization. The composition and structure of fish assemblages showed significant differences along the urbanization gradient observed in the streams. Tolerant and non-native species were found in more urbanized sites. A matrix correlation revealed a relationship between abiotic variables and the spatial pattern of structure and composition of fish assemblages. Abiotic variables, such as total phosphorus, dissolved oxygen, and conductivity, determined the distribution of fish assemblages. Streams without urban influence exhibited intrinsically low species richness, suggesting that they are highly susceptible to species loss and diversity reduction. Thus, changes in water quality or hydrological conditions induced by urbanization may intensify these impacts.</t>
  </si>
  <si>
    <t>http://dx.doi.org/10.1590/S1679-62252012000300018</t>
  </si>
  <si>
    <t>Jacutinga</t>
  </si>
  <si>
    <t>Panambi</t>
  </si>
  <si>
    <t>Effects of urbanization on macroinvertebrates in tributaries of the St. Johns River, Florida, USA</t>
  </si>
  <si>
    <t>E17-0</t>
  </si>
  <si>
    <t>E17-0A</t>
  </si>
  <si>
    <t>The effects of urbanization on hydrology, water quality and macroinvertebrates were examined in 7 headwater tributaries of the St. Johns River in the Atlantic Coastal Plain of northeast Florida. All streams had sandy substrata and drained small catchments (24-231 ha) that ranged from 0 to 51% total impervious area (TIA). Streams unaffected by urbanization had intermittent stream flow and completely dry channels for several weeks in autumn and spring. Urbanized streams always possessed channel water, but 2 streams ceased flowing and became stagnant in autumn and spring. Principle components analysis of chemical and physical measures (i.e. conductivity, nutrients, pH, metals, and stream flow) produced one axis (PCA1) that explained 54% of the total variation among the streams. The variables that loaded negatively on this axis were associated with low flows, while the variables that loaded positively were associated with urban land-use. PCA1 was also positively associated with %TIA. Macroinvertebrate richness ranged from 27 to 45 taxa and was positively associated with %TIA. Macroinvertebrate biomass ranged from 3 to 45 g AFDM/m(2) and showed a significant, exponential relationship with PCA1 (r (2) = 0.93) with greatest biomass occurring at intermediate %TIA. Invertebrate community structure in the urbanized streams appeared to be mainly influenced by hydrologic factors (perennial vs. intermittent flow regimes). The effects of urbanization on both hydrological and biological variables among the study streams were apparent, but also influenced by site-specific conditions.</t>
  </si>
  <si>
    <t>http://dx.doi.org/10.1007/s11252-011-0217-0</t>
  </si>
  <si>
    <t>Development of an Index of Biotic Integrity Based on Fish Communities to Assess the Effects of Rural and Urban Land Use on a Stream in Southeastern Brazil</t>
  </si>
  <si>
    <t>D1297</t>
  </si>
  <si>
    <t>D1297A</t>
  </si>
  <si>
    <t>A fish-based Index of Biotic Integrity (IBI) was adapted for use in a stream of the heavily impacted Piracicaba River basin in southeastern Brazil. The influences of land use (mainly sugar-cane crops) and an urban area on the fish community were investigated at ten sites along a 17 km-long stream during the dry and rainy season. The IBI varied with the season and location along the stream, reflecting differences between the agricultural and urban sites, which were more pronounced during the dry season. The final index was positively correlated with a Habitat Quality Index (dry season) but not with a Water Quality Index. The results can be viewed as a tool for assessing and monitoring the ecological health of streams in this watershed.</t>
  </si>
  <si>
    <t>http://dx.doi.org/10.1002/iroh.201111297</t>
  </si>
  <si>
    <t>The effects of catchment land use on water quality and macroinvertebrate assemblages in Otara Creek, New Zealand</t>
  </si>
  <si>
    <t>T5374</t>
  </si>
  <si>
    <t>T5374A</t>
  </si>
  <si>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</si>
  <si>
    <t>http://dx.doi.org/10.1080/02757540.2011.575374</t>
  </si>
  <si>
    <t>New Zealand</t>
  </si>
  <si>
    <t>Impact of urban development on aquatic macroinvertebrates in south eastern Australia: degradation of in-stream habitats and comparison with non-urban streams</t>
  </si>
  <si>
    <t>I07-y</t>
  </si>
  <si>
    <t>I07-yA</t>
  </si>
  <si>
    <t>Internationally, waterways within urban areas are subject to broad-scale environmental impairment from urban land uses. In this study, we used in-stream macroinvertebrates as surrogates to measure the aquatic health of urban streams in the established suburbs of northern Sydney, in temperate south eastern Australia. We compared these with samples collected from streams flowing in adjacent naturally vegetated catchments. Macroinvertebrates were collected over a 30-month period from riffle, edge and pool rock habitats and were identified to the family level. Macroinvertebrate assemblages were assessed against the influence of imperviousness and other catchment and water quality variables. The study revealed that urban streams were significantly impaired compared with those that flowed through naturally vegetated non-urban catchments. Urban streams had consistently lower family richness, and sensitive guilds were rare or missing. We found that variation in community assemblages among the in-stream habitats (pool edges, riffles and pool rocks) were more pronounced within streams in naturally vegetated catchments than in urban waterways.</t>
  </si>
  <si>
    <t>http://dx.doi.org/10.1007/s10452-009-9307-y</t>
  </si>
  <si>
    <t>I07-yB</t>
  </si>
  <si>
    <t>rock</t>
  </si>
  <si>
    <t>I07-yC</t>
  </si>
  <si>
    <t>edge</t>
  </si>
  <si>
    <t>Impacts of land use and water quality on macroinvertebrate communities in the Pearl River drainage basin, China</t>
  </si>
  <si>
    <t>I20-x</t>
  </si>
  <si>
    <t>I20-xA</t>
  </si>
  <si>
    <t>The East River (Dong Jiang), a major tributary of the Pearl River (Zhu Jiang, the second largest river in China by discharge), is situated in southern China, which has the highest rates of urbanization and development on Earth. The East River also provides 80% of Hong Kong's water supply. However, there have been no ecological studies to examine the combined impacts of changes in land use and water quality degradation on this river ecosystem. We tested the hypothesis that land-use disturbance and water quality degradation would significantly reduce benthic biodiversity in the East River by investigating macroinvertebrate community composition and relating it to data on water quality and catchment condition. The percentage of total impervious area within each catchment (%TIA-an indicator of land-use disturbance) was negatively related to a composite water quality index-the ERWQI-we developed for the East River. Modeling by partial least squares projection to latent structures (PLS) showed that family richness and relative abundance index (RAI) of macroinvertebrates were strongly influenced by both %TIA and ERWQI. Multi-response permutation procedure (MRPP) tests showed highly significant differences in family richness composition and RAI of macroinvertebrates among sites in the upper, middle, and lower course of the East River. MRPP also revealed differences in the family richness composition of nighttime drift samples between upper and middle site groups. Abundance (individuals m(-3)) and total family richness of drifting macroinvertebrates at each site were positively related to %TIA (range: 1.0-8.5%), while drift biomass was negatively related to dissolved oxygen and positively related to total suspended solids. Thus, human disturbances associated with land-use changes (increasing %TIA) and nutrient inputs severely degraded ecosystem integrity and the water quality of the East River and thereby reduced aquatic biodiversity.</t>
  </si>
  <si>
    <t>http://dx.doi.org/10.1007/s10750-010-0320-x</t>
  </si>
  <si>
    <t>Effects of tributary spatial position, urbanization, and multiple low-head dams on warmwater fish community structure in a Midwestern stream</t>
  </si>
  <si>
    <t>E86.1</t>
  </si>
  <si>
    <t>E86.1A</t>
  </si>
  <si>
    <t>A survey of stream fish communities was conducted in the upper Des Plaines River watershed in Illinois and Wisconsin to determine the distribution of fish species and to evaluate the effects of tributary spatial position, urbanization, and multiple low-head dams on fish species diversity and species composition. Forty-eight sites upstream of Salt Creek in Illinois to the headwaters in Wisconsin were surveyed between 2002 and 2004. We found that fish species diversity decreased as agricultural land was replaced by urban land. In addition, tributary position within the drainage network caused significant differences in fish species diversity; specifically, We found significantly less fish species diversity in main-stem tributary streams located lower in the drainage network than in similarly sized streams located in the headwaters of the drainage area. Fish species composition. determined by multivariate principal components analysis, also showed significant differences among stream position within the drainage network. Increases in urbanization did not have a significant effect on fish species diversity within undammed tributary sites, but it did have a strong influence on fish species composition. Hence. as urbanization increased in these undammed tributaries, the fish species composition changed from coolwater-riverine specialist to warmwater-riverine generalist assemblages. In contrast, for tributary streams with low-head dams, the presence of dams had a greater effect on fish species composition than urbanization. In addition, the presence of multiple low-head dams on the main stem had a cumulative detrimental effect on fish species diversity, which decreased along an upstream-to-downstream gradient. Consequently, it is important to consider tributary spatial position within the drainage network, the amount of urbanization, and the number and locations of darns when characterizing the structure of warmwater fish communities. especially in relation to the development of restoration plans in highly urbanized or urbanizing watersheds.</t>
  </si>
  <si>
    <t>http://dx.doi.org/10.1577/M06-186.1</t>
  </si>
  <si>
    <t>Csa</t>
  </si>
  <si>
    <t>California Floristic Province</t>
  </si>
  <si>
    <t>Effect of landscape context on anuran communities in breeding ponds in the National Capital Region, Canada</t>
  </si>
  <si>
    <t>E12-3</t>
  </si>
  <si>
    <t>E12-3A</t>
  </si>
  <si>
    <t>Land cover change, predominantly habitat conversion to agricultural use and urbanization, has recently been recognized as the primary cause of biodiversity loss in terrestrial ecosystems. We evaluated the relative effects of urban and agricultural landscapes on anuran species richness and the abundance of six anuran species found at breeding ponds in and around the cities of Ottawa, Ontario and Gatineau, Quebec. We performed six call surveys at 29 permanent focal ponds surrounded by one of three landscape contexts: primarily urban, primarily agricultural, and primarily forested. We also measured three local pond variables to control for the effects of local habitat quality in our analyses. We found that anuran species richness was significantly lower in breeding ponds in urban landscapes compared to forested and agricultural landscapes, which exhibited no significant difference in species richness. The abundances of individual anuran species were also consistently lower in urban landscapes for all species except one, which exhibited no response to landscape type. Three species had their highest abundances in ponds in forested landscapes, whereas two species had their highest abundances in ponds in agricultural landscapes. We conclude that ponds embedded in urban landscapes support lower biodiversity than ponds in agricultural settings. We suggest that landscapes composed of a mosaic of forest and open habitats surrounding wetlands would hold the highest biodiversity of these species.</t>
  </si>
  <si>
    <t>http://dx.doi.org/10.1007/s10980-006-9012-3</t>
  </si>
  <si>
    <t>Stream communities across a rural-urban landscape gradient</t>
  </si>
  <si>
    <t>S26.x</t>
  </si>
  <si>
    <t>S26.xA</t>
  </si>
  <si>
    <t>Rapid urbanization throughout the world is expected to cause extensive loss of biodiversity in the upcoming decades. Disturbances associated with urbanization frequently operate over multiple spatial scales such that local species extirpations have been attributed both to localized habitat degradation and to regional changes in land use. Urbanization also may shape stream communities by restricting species dispersal within and among stream reaches. In this patch-dynamics view, anthropogenic disturbances and isolation jointly reduce stream biodiversity in urbanizing landscapes. We evaluated predictions of stream invertebrate community composition and abundance based on variation in environmental conditions at five distinct spatial scales: stream habitats, reaches, riparian corridors and watersheds and their spatial location within the larger three-river basin. Despite strong associations between biodiversity loss and human density in this study, local stream habitat and stream reach conditions were poor predictors of community patterns. Instead, local community diversity and abundance were more accurately predicted by riparian vegetation and watershed landscape structure. Spatial coordinates associated with instream distances provided better predictions of stream communities than any of the environmental data sets. Together, results suggest that urbanization in the study region was associated with reduced stream invertebrate diversity through the alteration of landscape vegetation structure and patch connectivity. These findings suggest that maintaining and restoring watershed vegetation corridors in urban landscapes will aid efforts to conserve freshwater biodiversity.</t>
  </si>
  <si>
    <t>http://dx.doi.org/10.1111/j.1366-9516.2005.00226.x</t>
  </si>
  <si>
    <t>Assessing the environment-benthic fauna coupling in protected and urban areas of southern Brazil</t>
  </si>
  <si>
    <t>A.008</t>
  </si>
  <si>
    <t>A.008A</t>
  </si>
  <si>
    <t>Growing urbanization adjacent to aquatic systems may alter water, sediment and benthic community interactions. The ecological effects of urbanization on regional, local and site-specific spatial variations of benthic macrofauna and of sediment and water properties were investigated in relatively pristine rivers and in urban rivers of southern Brazil. The benthic communities were found to be different in urbanized and protected areas. Their predominant responses to environmental conditions were characterized as either a: (i) sensitive species assemblage, formed by polychaetes Nephtys fluviatilis and Heteromastus similis and the crustacean Kalliapseudes schubarti; or a (ii) tolerant species assemblage, formed by the polychaete Laeonereis acuta and by an unidentified oligochaeta Tubificidae. The relationships between fauna and environment differed between protected and urban rivers. In protected areas the fauna distribution was directly related to grain sorting and phaeophytin a in sediments; and to chlorophyll a, dissolved oxygen and phosphorus in water. In urban sites the strongest determinants of fauna distribution were the presence of lead, copper, dissolved phosphorus, chlorophyll a and phaeophytin a in sediments, and suspended particulate matter, dissolved phosphorus, nitrogen, and silicate in water. The comparison of animal-sediment-water interaction in natural and urban areas can be useful in planning environmental impact mitigation strategies for conservation even in rivers and estuaries with non-point sources of pollution. (c) 2005 Elsevier Ltd. All rights reserved.</t>
  </si>
  <si>
    <t>http://dx.doi.org/10.1016/j.biocon.2005.11.008</t>
  </si>
  <si>
    <t>benthic macrofaunal(500μm)</t>
  </si>
  <si>
    <t>A.008B</t>
  </si>
  <si>
    <t>A.008C</t>
  </si>
  <si>
    <t>Amphibian breeding distribution in an urbanized landscape</t>
  </si>
  <si>
    <t>A01.x</t>
  </si>
  <si>
    <t>A01.xC</t>
  </si>
  <si>
    <t>Amphibians commonly use wetlands for breeding habitat, and given the concern about their ongoing global declines, the effects of urbanization on the breeding distribution of amphibians need to be quantified. Thus, we conducted a survey of the larval amphibian community in central Pennsylvania (U.S.A.) wetlands along an urbanization gradient. Wetlands in urban areas had less surrounding forest and wetlands and greater road density than rural wetlands. Urbanization was also associated with increases in hydroperiod (i.e., wetland permanency) and the presence of fish predators. Moreover, urban wetlands had lower larval amphibian species richness than rural wetlands. This decrease in richness was attributable to a decrease in occurrence of wood frogs (Rana sylvatica) and ambystomatid salamanders (Ambystoma maculatum and A. jeffersonianum) in urban sites. Wood frogs and ambystomatid salamanders were positively associated with the amount of forest surrounding sites and negatively associated with hydroperiod. As a result, we hypothesize that these species are sensitive to the effects of urban development. The remaining species in this study appear fairly resilient to the effects of urbanization. These data demonstrate the importance of quantifying both local and landscape attributes when describing the factors that limit the breeding distribution of amphibians. We recommend that to preserve amphibian biodiversity in urbanized landscapes, it is best to focus on regional diversity, which protects a variety of sites that encompass various hydroperiods, have adequate buffer habitat, and are connected by dispersal routes.</t>
  </si>
  <si>
    <t>http://dx.doi.org/10.1111/j.1523-1739.2005.00101.x</t>
  </si>
  <si>
    <t>palustrine</t>
  </si>
  <si>
    <t>The effects of urban areas on benthic macroinvertebrates in two Colorado plains rivers</t>
  </si>
  <si>
    <t>TNA</t>
  </si>
  <si>
    <t>TNAA</t>
  </si>
  <si>
    <t>Water demands in and and semi-arid areas, coupled with increased human populations and concomitant changes in land use, can greatly alter aquatic ecosystems. A good example of this type of system occurs along the eastern slope of the Colorado Rocky Mountains, U.S.A. Long-term macroinvertebrate metric data from the Big Thompson and Cache la Poudre Rivers, Colorado, were collected at one site above, and three sites in and downstream from urban areas. These data were compared both with regional reference and single reference sites in the respective rivers. Using the surrogate variables of potential urban impact (population and housing units), and the environmental gradient represented primarily by chemical factors, it was determined that there was an effect of urban land use that was reflected in the macroinvertebrate assemblages in both rivers. The most robust results were usually seen when regional reference data were used. However, even using only the upstream reference site in either river indicated some negative impacts from the urban areas. The long-term data, particularly in the Cache la Poudre River, showed that water quality has not been getting worse and there is some evidence of a slight improvement in downstream reaches, even with increased urban development.</t>
  </si>
  <si>
    <t>NA</t>
  </si>
  <si>
    <t>Dispersing diving beetles (Dytiscidae) in agricultural and urban landscapes in south-eastern Sweden</t>
  </si>
  <si>
    <t>DNA</t>
  </si>
  <si>
    <t>DNAA</t>
  </si>
  <si>
    <t>Flying dytiscids were trapped in an agricultural landscape with wetlands in different successional stages and in two urban landscapes with young wetlands. We compared the faunas in air and in water. Hydroporus and Agabus were the most frequently trapped genera in air. Most species were trapped near water in the agricultural landscape; species characteristic of later successional stages were common in air and dominated in water. In the urban landscapes, species were mainly trapped far from water and species known to colonise new waters were common in air and in the youngest waters. Overall, females and immature adults were more common in flight catches during April-July than during August-October. Our results indicate that urbanisation would result in a less diverse fauna, but may lead to an assemblage dominated by species that are infrequent in agricultural landscapes. To obtain a rich wetland insect fauna, a wide range of wetland types is required at the landscape scale.</t>
  </si>
  <si>
    <t>Sweden</t>
  </si>
  <si>
    <t>contructed wetlands</t>
  </si>
  <si>
    <t>Assessing the impact of urbanization on wetland bird communities in Chilean Mediterranean coast</t>
  </si>
  <si>
    <t>A08-1</t>
  </si>
  <si>
    <t>A08-1A</t>
  </si>
  <si>
    <t>Understanding how biodiversity is changing is key to improving conservation actions and informing decision-making. Urbanization is a Major driver of biodiversity loss, especially in coastal wetlands; however, its effects on bird species richness, particularly in Mediterranean-type ecosystems of the Southern Hemisphere, remain understudied. Using eBird citizen science data from 2023, we assessed the relationship between urbanization and native bird species richness across 20 coastal wetlands in the Valpara &amp; iacute;so region of central Chile, the second megacity in Chile. We estimated urban cover within a 1 km buffer surrounding each wetland using high-resolution 2023 land cover data. We analyzed five bird groups with different life history traits (i.e., overall birds, resident birds, migratory birds, shorebirds, and migratory shorebirds) in terms of species richness. We obtained a total of 167 bird species records, of which 57 were migratory, 24 were shorebirds, and 18 were migratory shorebirds. We found significant negative relationships between urbanization level and species richness across four of the five groups (except resident birds), with no shorebirds recorded in the two most urbanized wetlands. These findings highlight the urgent need for conservation actions focused on migratory species, particularly shorebirds that depend on coastal wetlands along the Pacific Flyway. Furthermore, the study demonstrates the value of citizen science data for informing conservation planning and underscores the importance of integrating urban wetland protection into land use planning in rapidly urbanizing regions.</t>
  </si>
  <si>
    <t>https://doi.org/10.1007/s11252-025-01808-1</t>
  </si>
  <si>
    <t>Contrasting effects of agriculture and urbanisation on bird and reptile communities in a Mediterranean delta (Gediz Delta, Turkiye)</t>
  </si>
  <si>
    <t>C90-y</t>
  </si>
  <si>
    <t>C90-yA</t>
  </si>
  <si>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</si>
  <si>
    <t>https://doi.org/10.1186/s12862-025-02390-y</t>
  </si>
  <si>
    <t>Turkey</t>
  </si>
  <si>
    <t>contain multiple types of wetland</t>
  </si>
  <si>
    <t>Mediterranean Basin</t>
  </si>
  <si>
    <t>reptile</t>
  </si>
  <si>
    <t>Differential responses of phytoplankton and zooplankton communities to tidal and urban stressors in the Dongjiang river: From biodiversity patterns to network stability</t>
  </si>
  <si>
    <t>D8930</t>
  </si>
  <si>
    <t>D8930A</t>
  </si>
  <si>
    <t>This study employed environmental DNA (eDNA) metabarcoding to investigate the differential responses of phytoplankton and zooplankton communities to combined tidal and urban stressors along the Dongjiang River, China. The results revealed distinct spatiotemporal patterns between phytoplankton and zooplankton groups: phytoplankton diversity showed significantly stronger seasonal variation (a 61.2 % increase in the wet season, P &lt; 0.05), particularly in tidal urbanized reaches, whereas zooplankton exhibited greater stability (with only 12.8 % seasonal variation). Community assembly analyses demonstrated contrasting mechanisms-phytoplankton shifted from stochastic dominance (53.4 % explained by neutral models) in wet seasons to deterministic control (6.8 %) in dry seasons, while zooplankton remained consistently deterministic (&lt;1 % neutral model fit) across all conditions. Network analysis revealed significant fragmentation of phytoplankton interactions in tidal urban zones, whereas zooplankton networks maintained higher stability despite reduced complexity. Temperature, nitrogen nutrients, and organic pollutants were identified as the key environmental drivers affecting phytoplankton and zooplankton community composition in the Dongjiang River. This study demonstrates how eDNA-based approaches can disentangle complex stressor interactions in urbanized estuaries, highlighting the role of seasonal hydrological variations, and provides a scientific basis for ecological management strategies aimed at preserving aquatic biodiversity and river ecosystem health.</t>
  </si>
  <si>
    <t>https://doi.org/10.1016/j.ecoenv.2025.118930</t>
  </si>
  <si>
    <t>NTR_W</t>
  </si>
  <si>
    <t>TR_W</t>
  </si>
  <si>
    <t>NTR_D</t>
  </si>
  <si>
    <t>TR_D</t>
  </si>
  <si>
    <t>Drivers of taxonomic, phylogenetic, and functional diversity of waterbirds in urban wetlands</t>
  </si>
  <si>
    <t>Df024</t>
  </si>
  <si>
    <t>Df024A</t>
  </si>
  <si>
    <t>Urban wetlands are considered as habitat islands within the urban matrix that contribute to species conservation. Waterbirds are sensitive pollution indicators in terrestrial and aquatic ecosystems, and their diversity in urban wetlands reflects the response of wildlife to urbanization. However, very few studies have investigated seasonal differences in the multidimensional diversity of waterbirds in urbanized landscapes. In this study, we analyzed various wetland parameters that could potentially affect the seasonal variations in multidimensional diversity of waterbirds in Nanjing, China. We surveyed waterbirds in 29 urban wetlands using the point count method during breeding and non-breeding seasons from November 2022 to June 2023. We then employed multiple linear regressions and information-theoretic approaches to investigate the impact of wetland characteristics on waterbird diversity. We found that water body area and buffer zone connectivity consistently emerged as positive factors affecting waterbird taxonomic and phylogenetic diversity across seasons. Conversely, the urbanization synthetic index was negatively correlated with waterbird diversity only during the breeding season. Regarding functional diversity, we found that the positive correlation between buffer zone connectivity and waterbird diversity was specific to the breeding season. Therefore, for effective conservation of waterbird diversity in our system, wetland planning should prioritize expanding wetland water body areas, enhancing wetland connectivity, minimizing human disturbance during the breeding season, and implementing ecological restoration measures in urbanized wetlands to mitigate adverse effects of urbanization.</t>
  </si>
  <si>
    <t>https://doi.org/10.1093/cz/zoaf024</t>
  </si>
  <si>
    <t>Effects of different land use types on macroinvertebrate community structure and diversity in the middle reaches of the Yellow River basin</t>
  </si>
  <si>
    <t>E4259</t>
  </si>
  <si>
    <t>E4259A</t>
  </si>
  <si>
    <t>Land use change caused by human activities has become one of the main drivers of global biodiversity loss. The middle reaches of the Yellow River (MYR) play a crucial ecological role in the Yellow River basin. The region is characterized by complex topography, variable hydrological conditions, and intense human disturbance, making it a typical ecologically fragile area. Currently, there is limited research on the effects of different land use types on macroinvertebrate community structure and diversity in such fragile ecosystems. This study set up a total of 33 sampling points in the middle reaches of the Yellow River from May to July 2021 and systematically evaluated the impacts of different land use types on the taxonomic and functional diversity of macroinvertebrate communities. The PERMANOVA analysis shows significant spatial differences of macroinvertebrate community structure existed among different land use types. Forest land exhibits significantly higher taxonomic and functional alpha diversity indices compared to agricultural and urbanization land (p &lt; 0.05). Taxonomic and functional beta diversity indices across different land use types are primarily driven by species turnover. The RDA results indicate that the LUI has the most significant impact on the biodiversity of macroinvertebrates. These findings highlight the significant effects of different land use types on the biodiversity of macroinvertebrates in the MYR area.</t>
  </si>
  <si>
    <t>https://doi.org/10.1016/j.ecolind.2025.114259</t>
  </si>
  <si>
    <t>Urbanization</t>
  </si>
  <si>
    <t>Environmental drivers shaping mollusc communities in ponds of two different landscapes</t>
  </si>
  <si>
    <t>E44-x</t>
  </si>
  <si>
    <t>E44-xA</t>
  </si>
  <si>
    <t>https://doi.org/10.1007/s11252-025-01844-x</t>
  </si>
  <si>
    <t>Exploring Cladocera Assemblage and Responses to Land Use Patterns</t>
  </si>
  <si>
    <t>E0642</t>
  </si>
  <si>
    <t>E0642A</t>
  </si>
  <si>
    <t>Cladocera communities in surface sediments from 31 lakes in Hungary were analysed to assess the impacts of land use on the aquatic systems. We evaluated the alpha and beta diversity metrics, with land use classification types based on the Corine Land Cover. Physical and water chemistry parameters were analysed using standardised procedures. Using redundancy analysis (RDA), total phosphorus (TP) was identified as the key driver of Cladocera composition and distribution. End-member mixing analysis (EMMA) revealed distinctive ecological patterns in Cladocera assemblages across land use types. Our results demonstrate that agriculture and urbanisation contribute to the associated degradation of the lakes and changes in trophic states. Wetlands, forests, and open waters play a critical role as buffer zones in mitigating anthropogenic effects, with Cladocera community composition mirroring the nutrient conditions of the lakes.</t>
  </si>
  <si>
    <t>https://doi.org/10.3390/d17090642</t>
  </si>
  <si>
    <t>Impact of urbanization on stream fish fauna in tropical catchments of the Malay Peninsula</t>
  </si>
  <si>
    <t>I3907</t>
  </si>
  <si>
    <t>I3907A</t>
  </si>
  <si>
    <t>Since the 20th century, rapid urbanization has led to various environmental challenges. These include urban flooding due to changes in the water cycle, poor water quality, and the degradation of aquatic ecosystems. Additionally, urbanization has caused a loss of habitats, leading to a decline in species diversity. In particular, aquatic organisms have been significantly affected by habitat loss resulting from river modifications and the introduction of non-native species. However, research on urbanization's effects on biodiversity in tropical regions is limited, and knowledge about ecosystem conservation and restoration in these areas is scarce. This study aimed to examine the fish fauna in urban and surrounding non-urban areas of the rapidly developing Malay Peninsula. By examining fish populations in urbanized watersheds and comparing them with those in non-urban areas, the study investigated the relationship between environmental factors, including urbanization, and fish fauna. The survey revealed that non-native species like Poecilia sphenops and Mayaheros urophthalmus dominated urbanized watersheds. Habitat modeling showed that factors like concrete coverage on riverbeds, conductivity, and urban land use significantly influenced the presence of these non-native species. These species appear to have adapted to the urban environment. However, native species, including those on the IUCN Red List, were also found in urban watersheds. The results emphasize the need to preserve remaining forests and restore floodplains for native species conservation. This highlights the importance of conservation efforts to protect natural habitats and rehabilitate degraded ecosystems in urban areas.</t>
  </si>
  <si>
    <t>https://doi.org/10.1016/j.ecolind.2025.113907</t>
  </si>
  <si>
    <t>GroupA</t>
  </si>
  <si>
    <t>GroupC</t>
  </si>
  <si>
    <t>Rapid Urbanization Reduces Biodiversity and Degrades Wetland Ecosystems in Kunshan, China: Implications for Restoration</t>
  </si>
  <si>
    <t>R0450</t>
  </si>
  <si>
    <t>R0450A</t>
  </si>
  <si>
    <t>Rapid urbanization negatively affects landscape, ecological connectivity, and biodiversity of wetland ecosystems worldwide, and the specific effect mechanisms need to be deeply explored. In the present study, we aimed to determine if and how rapid urbanization has affected the biodiversity and ecosystems of wetlands in Kunshan, which has ranked first among China's top 100 counties and cities in comprehensive strength for 20 years. We conducted field investigations in 11 towns of Kunshan, where we determined different water parameters and biodiversity indices in the wetlands of urban, middle, and natural regions as well as several urbanization indices. The results indicated an upward trend for the biodiversity indices, including density, biomass, species number, Shannon diversity, and Margalef richness of the aquatic plants and macrobenthos from the urban to middle to natural regions. Furthermore, the results indicated a downward trend for the water parameters, including salinity, total dissolved solids, pH, total phosphorus content, ammonia nitrogen content, and permanganate index from the urban to middle to natural regions. Overall, the biodiversity indices of aquatic organisms were negatively correlated with water parameters and urbanization indices, including population density, gross domestic product, number of industrial enterprises above the designated size, industrial energy consumption, and building construction area. Thus, the results demonstrate that rapid urbanization leads to habitat destruction and biodiversity reduction in aquatic plants and macrobenthos. This study provides scientific implications for management and restoration of urban wetlands during rapid urbanization, including water pollution control, ecological shoreline protection, ecological connectivity optimization, aquatic plants, and macrobenthos restoration.</t>
  </si>
  <si>
    <t>https://doi.org/10.34133/ehs.0450</t>
  </si>
  <si>
    <t>river or lake wetland regions</t>
  </si>
  <si>
    <t>aquatic plant</t>
  </si>
  <si>
    <t>The interactive effects of damming and urbanization on multitrophic aquatic communities in a highly populated watershed in China</t>
  </si>
  <si>
    <t>T4363</t>
  </si>
  <si>
    <t>T4363A</t>
  </si>
  <si>
    <t>Damming and urbanization, the two most common anthropogenic pressures worldwide, have caused fundamental changes in aquatic habitats and the species they support. Although these two stressors frequently cooccur, their interactive effects on aquatic communities have not been specifically investigated. Here, we investigated multitrophic aquatic communities, including macroinvertebrate, zooplankton and algae communities, in the Shaying River Basin to reveal the interactive effects of damming and urbanization on biodiversity, food web stability and community structure. We found that the cooccurrence of damming and urbanization led to a significant decline in the diversity indices of all aquatic communities and in food web stability, mainly through synergistic effects. Structural equation modeling (SEM) revealed that both direct pathways and indirect pollutant-mediated pathways, including the accumulation of nutrients (N, P) and heavy metals (As, Cr, Fe, Zn), contributed to this decline and ultimately simplified the freshwater food webs. Macroinvertebrate diversity plays a crucial role in the maintenance of food web stability. In addition, nonmetric multidimensional scaling (NMDS) and variance partitioning analysis (VPA) indicated that the interaction of damming and urbanization caused significant homogenization among macroinvertebrates, zooplankton, and algae. As stress increased, the dominant species shifted from pollution-sensitive species (e.g., Ephemeroplera, Trichoptera and Ploima) to pollution-tolerant species (e.g., Diptera and Tubificida). Our results suggest that damming and urbanization together exert strong environmental filtering effects, which significantly reshape freshwater community structures.</t>
  </si>
  <si>
    <t>https://doi.org/10.1016/j.ecolind.2025.114363</t>
  </si>
  <si>
    <t>_D_U</t>
  </si>
  <si>
    <t>_D+U</t>
  </si>
  <si>
    <t>Urbanisation and specifically impervious cover alter riparian plant communities in a rapidly urbanising landscape in the Himalayas</t>
  </si>
  <si>
    <t>U8862</t>
  </si>
  <si>
    <t>U8862A</t>
  </si>
  <si>
    <t>Impervious covers, such as roads, pavements, buildings, and parking lots, prevent water infiltration, thereby increasing surface runoff. The expansion of impervious cover along riverbanks in urban areas poses a significant threat to riparian ecosystems by altering species diversity and composition through hydrological changes. As dynamic ecosystems at the interface between aquatic and terrestrial environments, riparian areas play a crucial role in aquatic ecology, particularly in terms of biodiversity, bank stability, nutrient dynamics, and hydrological processes. Employing plot-based floristic sampling, this study investigated the effects of urbanisation, particularly impervious cover (quantified as PTIA, Percentage of Total Impervious Area), on riparian plant communities in the rapidly urbanising landscapes of Thimphu City, Bhutan. Additionally, other environmental variables and soil chemical properties were examined to determine whether they confounded the impacts of PTIA. The results showed that PTIA had a significant impact on the diversity and composition of riparian plant communities. Overall, higher levels of PTIA supported a greater number of plant species, including exotic species, but exhibited the lowest alpha-diversity and reduced tree abundance compared to reference sites (p &lt; 0.001). These areas favoured Rumex nepalensis-Equisetum spp. community, while low PTIA supported the Calamagrostis scabrescens-Elaeagnus umbellata community. Significant changes in species diversity and community structure were observed at a PTIA threshold of approximately 60 % (p &lt; 0.05), indicating substantial ecological alterations beyond this point. Except for soil pH, which influenced plant communities independently rather than confounding PTIA's effects, other environmental variables and soil chemical properties did not have any significant effects on riparian plant communities. Our study revealed that PTIA was the primary predictor for changes in plant communities in rapidly developing urban riparian landscapes. The relationship between PTIA and plant communities highlights the importance of considering PTIA in urban biodiversity management, as it can predict the extent of vegetated land required to sustain healthy riparian ecosystems. These findings suggest that rapidly urbanising cities can realign their urban development and riparian biodiversity management strategies by assessing existing impervious cover and establishing appropriate PTIA thresholds to balance urban growth with the conservation of riparian environments.</t>
  </si>
  <si>
    <t>https://doi.org/10.1016/j.ufug.2025.128862</t>
  </si>
  <si>
    <t>Bhutan</t>
  </si>
  <si>
    <t>Central and Southern Asia</t>
  </si>
  <si>
    <t>UST</t>
  </si>
  <si>
    <t>URB</t>
  </si>
  <si>
    <t>Himalaya</t>
  </si>
  <si>
    <t>Urbanization cast a shadow over bacterial community in river sediment: Insights from community diversity, assembly processes and network interactions</t>
  </si>
  <si>
    <t>U7190</t>
  </si>
  <si>
    <t>U7190A</t>
  </si>
  <si>
    <t>Rivers reflect natural-anthropogenic interactions, yet how urbanization affects riverine bacterial communities along rural-urban gradients is poorly understood. This study examined bacterial diversity and assembly mechanisms along such a gradient of river sediments. Results showed that bacterial diversity significantly decreased with increasing urban influence. Community assembly shifted from stochastic processes dominating in rural zones to environmental selection prevailing in urban zones. The rural-urban transition caused bacterial network instability, potentially reducing resilience. The participation of prevalent taxa decreased but the rare taxa related to chitinolysis and nitrate/nitrite denitrification were selectively enriched along with rural-urban gradient, suggesting rapid functional recruitment to exploit dissolved organic nitrogen and nitrate pulses typical of urban runoff. Our findings underscore that urbanization's influence on bacterial communities is more pronounced than the river's inherent natural characteristics. These insights highlight the profound ecological consequences of urbanization on river microbiomes, informing protection and restoration strategies.</t>
  </si>
  <si>
    <t>https://doi.org/10.1016/j.jenvman.2025.127190</t>
  </si>
  <si>
    <t>RU</t>
  </si>
  <si>
    <t>UU</t>
  </si>
  <si>
    <t>U7190B</t>
  </si>
  <si>
    <t>RM</t>
  </si>
  <si>
    <t>UM</t>
  </si>
  <si>
    <t>U7190C</t>
  </si>
  <si>
    <t>RD</t>
  </si>
  <si>
    <t>UD</t>
  </si>
  <si>
    <t>Urbanization alters river multifunctionality by reducing macroinvertebrate diversity in highly human-impacted plain river networks</t>
  </si>
  <si>
    <t>U0221</t>
  </si>
  <si>
    <t>U0221A</t>
  </si>
  <si>
    <t>Urbanization has dramatically destabilized crucial ecosystem functions through extensive land-use changes, habitat fragmentation, and modified species compositions. However, the mechanisms through which urbanization affects river ecosystem multifunctionality (EMF)-the simultaneous performance of multiple ecosystem functions-remain largely unknown. This study evaluated the impact of urbanization on EMF using macroinvertebrate community data collected from 83 sampling sites across the Yangtze River Delta, China (30 degrees 47 ' N-32 degrees 02 ' N, 119 degrees 55 ' E-121 degrees 20 ' E). We investigated the pathways by which urbanization change ecosystem multifunctionality, including: (1) biotic (such as biodiversity) and abiotic (such as water quality) pathways, (2) taxonomic diversity and functional diversity, and (3) rare species compared to common species. Partial Least Squares Path Modeling revealed that urbanization negatively impacted EMF through both biotic (macroinvertebrate biodiversity) and abiotic (total dissolved solids, salinity, and conductivity) pathways, with the former playing a dominant role. Taxonomic diversity emerged as a stronger positive predictor of EMF than functional diversity. Moreover, the taxonomic diversity was positively correlated with consumer biomass and photosynthetically active radiation and negatively with nutrient concentration. We further showed stronger effects of rare than common species in maintaining EMF. Our study fills a gap in the mechanistic understanding of river ecosystem multifunctionality in plain river networks under urbanization and informs strategies for sustainable urban development. We recommend that conservation efforts in urban areas should prioritize the protection of taxonomic diversity and rare species of macroinvertebrates.</t>
  </si>
  <si>
    <t>https://doi.org/10.1002/lno.70221</t>
  </si>
  <si>
    <t>Watershed urbanization alters aquatic plant mycobiomes through the loss of rare taxa</t>
  </si>
  <si>
    <t>W2525</t>
  </si>
  <si>
    <t>W2525A</t>
  </si>
  <si>
    <t>Urban expansion, projected to triple globally from 2000 to 2030, significantly impacts biodiversity and ecosystem processes, including those of microbial communities. Microbes are key drivers of many ecosystem processes and affect the fitness and resilience of plants and animals, but research on the biotic effects of urbanization has focused primarily on macroorganisms. This study investigates host-associated fungal communities in the pollution-tolerant aquatic plant Ranunculus aquatilis along an urbanization gradient in the Provo River, Utah, USA, a rapidly urbanizing region. We collected plant and adjacent water samples from 10 locations along the river, spanning from rural to urbanized areas within a single watershed, and conducted DNA amplicon sequencing to characterize fungal community composition. Our results show a significant decline in fungal alpha diversity correlated with increased urbanization metrics such as impervious surface area and developed land cover. Specifically, fungal richness and Shannon diversity decreased as urbanization intensified, driven primarily by a reduction in rare taxa. Despite a stable core microbiome dominated by a few taxa, the overall community structure varied significantly along the urbanization gradient, with notable shifts in dominant fungal taxa. Contrary to expectations, no detectable levels of heavy metals were found in water samples at any location, suggesting that other urbanization-related factors, potentially including organic pollutants or plant stress responses, influence fungal endophyte communities. Our findings underscore the need for further investigation into the mechanisms driving these patterns, particularly the roles of organic pollution, nutrient loads, and plant stress. As global urbanized watershed area grows, the fate of aquatic plant life is tied to their fungal community. Understanding these interactions is crucial for predicting the impacts of continued urbanization on freshwater ecosystems.</t>
  </si>
  <si>
    <t>https://doi.org/10.1080/00275514.2025.2462525</t>
  </si>
  <si>
    <t>aquatic plant mycobiomes (fungal)</t>
  </si>
  <si>
    <t>low-urb</t>
  </si>
  <si>
    <t>Site B</t>
  </si>
  <si>
    <t>nature</t>
  </si>
  <si>
    <t>non-urban</t>
  </si>
  <si>
    <t>agri</t>
  </si>
  <si>
    <t>taxa_grouped (计数)</t>
  </si>
  <si>
    <t>7 SD</t>
  </si>
  <si>
    <t>2 Odonata 1 mollusk</t>
  </si>
  <si>
    <t>1 SD</t>
  </si>
  <si>
    <t>2 SD</t>
  </si>
  <si>
    <t>3 SD</t>
  </si>
  <si>
    <t>1 reptile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</si>
</sst>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_ "/>
    <numFmt numFmtId="178" formatCode="0.00_ "/>
    <numFmt numFmtId="179" formatCode="0.0000_ "/>
  </numFmts>
  <fonts count="26">
    <font>
      <sz val="11"/>
      <color theme="1"/>
      <name val="等线"/>
      <charset val="134"/>
      <scheme val="minor"/>
    </font>
    <font>
      <u/>
      <sz val="11"/>
      <color rgb="FF800080"/>
      <name val="等线"/>
      <charset val="134"/>
      <scheme val="minor"/>
    </font>
    <font>
      <sz val="12"/>
      <color rgb="FF282828"/>
      <name val="宋体"/>
      <charset val="134"/>
    </font>
    <font>
      <sz val="11"/>
      <name val="等线"/>
      <charset val="134"/>
      <scheme val="minor"/>
    </font>
    <font>
      <u/>
      <sz val="11"/>
      <color rgb="FF0000FF"/>
      <name val="等线"/>
      <charset val="134"/>
      <scheme val="minor"/>
    </font>
    <font>
      <sz val="11"/>
      <color rgb="FF000000"/>
      <name val="等线"/>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
      <sz val="11"/>
      <color theme="1"/>
      <name val="等线"/>
      <charset val="134"/>
    </font>
  </fonts>
  <fills count="36">
    <fill>
      <patternFill patternType="none"/>
    </fill>
    <fill>
      <patternFill patternType="gray125"/>
    </fill>
    <fill>
      <patternFill patternType="solid">
        <fgColor theme="3" tint="0.899990844447157"/>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E3E133"/>
        <bgColor indexed="64"/>
      </patternFill>
    </fill>
    <fill>
      <patternFill patternType="solid">
        <fgColor rgb="FFF5FB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theme="3" tint="0.499984740745262"/>
      </right>
      <top style="thin">
        <color theme="3" tint="0.499984740745262"/>
      </top>
      <bottom style="thin">
        <color theme="3" tint="0.499984740745262"/>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auto="1"/>
      </left>
      <right style="thin">
        <color auto="1"/>
      </right>
      <top style="thin">
        <color auto="1"/>
      </top>
      <bottom style="thin">
        <color auto="1"/>
      </bottom>
      <diagonal/>
    </border>
    <border>
      <left style="thin">
        <color rgb="FF0070C0"/>
      </left>
      <right style="thin">
        <color rgb="FF0070C0"/>
      </right>
      <top style="thin">
        <color rgb="FF0070C0"/>
      </top>
      <bottom style="thin">
        <color rgb="FF0070C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7" applyNumberFormat="0" applyFill="0" applyAlignment="0" applyProtection="0">
      <alignment vertical="center"/>
    </xf>
    <xf numFmtId="0" fontId="11" fillId="0" borderId="7" applyNumberFormat="0" applyFill="0" applyAlignment="0" applyProtection="0">
      <alignment vertical="center"/>
    </xf>
    <xf numFmtId="0" fontId="12" fillId="0" borderId="8" applyNumberFormat="0" applyFill="0" applyAlignment="0" applyProtection="0">
      <alignment vertical="center"/>
    </xf>
    <xf numFmtId="0" fontId="12" fillId="0" borderId="0" applyNumberFormat="0" applyFill="0" applyBorder="0" applyAlignment="0" applyProtection="0">
      <alignment vertical="center"/>
    </xf>
    <xf numFmtId="0" fontId="13" fillId="9" borderId="9" applyNumberFormat="0" applyAlignment="0" applyProtection="0">
      <alignment vertical="center"/>
    </xf>
    <xf numFmtId="0" fontId="14" fillId="10" borderId="10" applyNumberFormat="0" applyAlignment="0" applyProtection="0">
      <alignment vertical="center"/>
    </xf>
    <xf numFmtId="0" fontId="15" fillId="10" borderId="9" applyNumberFormat="0" applyAlignment="0" applyProtection="0">
      <alignment vertical="center"/>
    </xf>
    <xf numFmtId="0" fontId="16" fillId="11" borderId="11" applyNumberFormat="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4"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3"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5"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30">
    <xf numFmtId="0" fontId="0" fillId="0" borderId="0" xfId="0">
      <alignment vertical="center"/>
    </xf>
    <xf numFmtId="0" fontId="0" fillId="0" borderId="0" xfId="0"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0" fillId="5" borderId="2" xfId="0" applyFill="1" applyBorder="1" applyAlignment="1">
      <alignment vertical="center" wrapText="1"/>
    </xf>
    <xf numFmtId="0" fontId="0" fillId="6" borderId="2" xfId="0" applyFill="1" applyBorder="1" applyAlignment="1">
      <alignment vertical="center" wrapText="1"/>
    </xf>
    <xf numFmtId="0" fontId="0" fillId="4" borderId="3" xfId="0" applyFill="1" applyBorder="1" applyAlignment="1">
      <alignment vertical="center" wrapText="1"/>
    </xf>
    <xf numFmtId="0" fontId="0" fillId="6" borderId="4" xfId="0" applyFill="1" applyBorder="1" applyAlignment="1">
      <alignment vertical="center" wrapText="1"/>
    </xf>
    <xf numFmtId="0" fontId="0" fillId="7" borderId="4" xfId="0" applyFill="1" applyBorder="1" applyAlignment="1">
      <alignment vertical="center" wrapText="1"/>
    </xf>
    <xf numFmtId="0" fontId="0" fillId="6" borderId="5" xfId="0" applyFill="1" applyBorder="1" applyAlignment="1">
      <alignment vertical="center" wrapText="1"/>
    </xf>
    <xf numFmtId="0" fontId="1" fillId="0" borderId="0" xfId="6" applyFont="1">
      <alignment vertical="center"/>
    </xf>
    <xf numFmtId="0" fontId="0" fillId="2" borderId="1" xfId="0" applyFill="1" applyBorder="1">
      <alignment vertical="center"/>
    </xf>
    <xf numFmtId="0" fontId="0" fillId="5" borderId="2" xfId="0" applyFill="1" applyBorder="1">
      <alignment vertical="center"/>
    </xf>
    <xf numFmtId="0" fontId="0" fillId="6" borderId="2" xfId="0" applyFill="1" applyBorder="1">
      <alignment vertical="center"/>
    </xf>
    <xf numFmtId="0" fontId="2" fillId="0" borderId="0" xfId="0" applyFont="1" applyAlignment="1">
      <alignment vertical="center" wrapText="1"/>
    </xf>
    <xf numFmtId="0" fontId="1" fillId="0" borderId="0" xfId="6" applyFont="1" applyFill="1">
      <alignment vertical="center"/>
    </xf>
    <xf numFmtId="0" fontId="3" fillId="5" borderId="2" xfId="0" applyFont="1" applyFill="1" applyBorder="1">
      <alignment vertical="center"/>
    </xf>
    <xf numFmtId="176" fontId="0" fillId="5" borderId="2" xfId="0" applyNumberFormat="1" applyFill="1" applyBorder="1">
      <alignment vertical="center"/>
    </xf>
    <xf numFmtId="176" fontId="0" fillId="3" borderId="1" xfId="0" applyNumberFormat="1" applyFill="1" applyBorder="1" applyAlignment="1">
      <alignment vertical="center" wrapText="1"/>
    </xf>
    <xf numFmtId="177" fontId="0" fillId="3" borderId="1" xfId="0" applyNumberFormat="1" applyFill="1" applyBorder="1" applyAlignment="1">
      <alignment vertical="center" wrapText="1"/>
    </xf>
    <xf numFmtId="178" fontId="0" fillId="5" borderId="2" xfId="0" applyNumberFormat="1" applyFill="1" applyBorder="1">
      <alignment vertical="center"/>
    </xf>
    <xf numFmtId="179" fontId="0" fillId="5" borderId="2" xfId="0" applyNumberFormat="1" applyFill="1" applyBorder="1">
      <alignment vertical="center"/>
    </xf>
    <xf numFmtId="176" fontId="0" fillId="3" borderId="2" xfId="0" applyNumberFormat="1" applyFill="1" applyBorder="1" applyAlignment="1">
      <alignment vertical="center" wrapText="1"/>
    </xf>
    <xf numFmtId="179" fontId="0" fillId="0" borderId="0" xfId="0" applyNumberFormat="1" applyAlignment="1">
      <alignment vertical="center" wrapText="1"/>
    </xf>
    <xf numFmtId="0" fontId="4" fillId="0" borderId="0" xfId="6">
      <alignment vertical="center"/>
    </xf>
    <xf numFmtId="0" fontId="5" fillId="0" borderId="0" xfId="0" applyFont="1">
      <alignment vertical="center"/>
    </xf>
    <xf numFmtId="0" fontId="0" fillId="5" borderId="0" xfId="0" applyFill="1">
      <alignment vertical="center"/>
    </xf>
    <xf numFmtId="0" fontId="0" fillId="6" borderId="3"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3E133"/>
      <color rgb="00F5FB93"/>
      <color rgb="00E448F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'筛选分析-taxa_grouped (计数)'!$B$1</c:f>
              <c:strCache>
                <c:ptCount val="1"/>
                <c:pt idx="0">
                  <c:v>taxa_grouped (计数)</c:v>
                </c:pt>
              </c:strCache>
            </c:strRef>
          </c:tx>
          <c:spPr/>
          <c:explosion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dLbl>
              <c:idx val="0"/>
              <c:layout/>
              <c:dLblPos val="bestFit"/>
              <c:showLegendKey val="0"/>
              <c:showVal val="0"/>
              <c:showCatName val="0"/>
              <c:showSerName val="0"/>
              <c:showPercent val="1"/>
              <c:showBubbleSize val="1"/>
              <c:extLst>
                <c:ext xmlns:c15="http://schemas.microsoft.com/office/drawing/2012/chart" uri="{CE6537A1-D6FC-4f65-9D91-7224C49458BB}"/>
              </c:extLst>
            </c:dLbl>
            <c:dLbl>
              <c:idx val="1"/>
              <c:layout/>
              <c:dLblPos val="bestFit"/>
              <c:showLegendKey val="0"/>
              <c:showVal val="0"/>
              <c:showCatName val="0"/>
              <c:showSerName val="0"/>
              <c:showPercent val="1"/>
              <c:showBubbleSize val="1"/>
              <c:extLst>
                <c:ext xmlns:c15="http://schemas.microsoft.com/office/drawing/2012/chart" uri="{CE6537A1-D6FC-4f65-9D91-7224C49458BB}"/>
              </c:extLst>
            </c:dLbl>
            <c:dLbl>
              <c:idx val="2"/>
              <c:layout/>
              <c:dLblPos val="bestFit"/>
              <c:showLegendKey val="0"/>
              <c:showVal val="0"/>
              <c:showCatName val="0"/>
              <c:showSerName val="0"/>
              <c:showPercent val="1"/>
              <c:showBubbleSize val="1"/>
              <c:extLst>
                <c:ext xmlns:c15="http://schemas.microsoft.com/office/drawing/2012/chart" uri="{CE6537A1-D6FC-4f65-9D91-7224C49458BB}"/>
              </c:extLst>
            </c:dLbl>
            <c:dLbl>
              <c:idx val="3"/>
              <c:layout/>
              <c:dLblPos val="bestFit"/>
              <c:showLegendKey val="0"/>
              <c:showVal val="0"/>
              <c:showCatName val="0"/>
              <c:showSerName val="0"/>
              <c:showPercent val="1"/>
              <c:showBubbleSize val="1"/>
              <c:extLst>
                <c:ext xmlns:c15="http://schemas.microsoft.com/office/drawing/2012/chart" uri="{CE6537A1-D6FC-4f65-9D91-7224C49458BB}"/>
              </c:extLst>
            </c:dLbl>
            <c:dLbl>
              <c:idx val="4"/>
              <c:layout/>
              <c:dLblPos val="bestFit"/>
              <c:showLegendKey val="0"/>
              <c:showVal val="0"/>
              <c:showCatName val="0"/>
              <c:showSerName val="0"/>
              <c:showPercent val="1"/>
              <c:showBubbleSize val="1"/>
              <c:extLst>
                <c:ext xmlns:c15="http://schemas.microsoft.com/office/drawing/2012/chart" uri="{CE6537A1-D6FC-4f65-9D91-7224C49458BB}"/>
              </c:extLst>
            </c:dLbl>
            <c:dLbl>
              <c:idx val="5"/>
              <c:layout/>
              <c:dLblPos val="bestFit"/>
              <c:showLegendKey val="0"/>
              <c:showVal val="0"/>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'筛选分析-taxa_grouped (计数)'!$A$2:$A$9</c:f>
              <c:strCache>
                <c:ptCount val="8"/>
                <c:pt idx="0">
                  <c:v>fish</c:v>
                </c:pt>
                <c:pt idx="1">
                  <c:v>macroinvertebrate</c:v>
                </c:pt>
                <c:pt idx="2">
                  <c:v>bird</c:v>
                </c:pt>
                <c:pt idx="3">
                  <c:v>plant</c:v>
                </c:pt>
                <c:pt idx="4">
                  <c:v>algae</c:v>
                </c:pt>
                <c:pt idx="5">
                  <c:v>amphibian</c:v>
                </c:pt>
                <c:pt idx="6">
                  <c:v>zooplankton</c:v>
                </c:pt>
                <c:pt idx="7">
                  <c:v>other</c:v>
                </c:pt>
              </c:strCache>
            </c:strRef>
          </c:cat>
          <c:val>
            <c:numRef>
              <c:f>'筛选分析-taxa_grouped (计数)'!$B$2:$B$9</c:f>
              <c:numCache>
                <c:formatCode>General</c:formatCode>
                <c:ptCount val="8"/>
                <c:pt idx="0">
                  <c:v>20</c:v>
                </c:pt>
                <c:pt idx="1">
                  <c:v>15</c:v>
                </c:pt>
                <c:pt idx="2">
                  <c:v>6</c:v>
                </c:pt>
                <c:pt idx="3">
                  <c:v>4</c:v>
                </c:pt>
                <c:pt idx="4">
                  <c:v>4</c:v>
                </c:pt>
                <c:pt idx="5">
                  <c:v>3</c:v>
                </c:pt>
                <c:pt idx="6">
                  <c:v>1</c:v>
                </c:pt>
                <c:pt idx="7">
                  <c:v>1</c:v>
                </c:pt>
              </c:numCache>
            </c:numRef>
          </c:val>
        </c:ser>
        <c:dLbls>
          <c:showLegendKey val="0"/>
          <c:showVal val="0"/>
          <c:showCatName val="0"/>
          <c:showSerName val="0"/>
          <c:showPercent val="0"/>
          <c:showBubbleSize val="1"/>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86db2bb-49b7-4af2-9f0d-fc8762a9289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508000</xdr:colOff>
      <xdr:row>12</xdr:row>
      <xdr:rowOff>152400</xdr:rowOff>
    </xdr:from>
    <xdr:to>
      <xdr:col>14</xdr:col>
      <xdr:colOff>533400</xdr:colOff>
      <xdr:row>28</xdr:row>
      <xdr:rowOff>0</xdr:rowOff>
    </xdr:to>
    <xdr:graphicFrame>
      <xdr:nvGraphicFramePr>
        <xdr:cNvPr id="2" name="图表 1"/>
        <xdr:cNvGraphicFramePr/>
      </xdr:nvGraphicFramePr>
      <xdr:xfrm>
        <a:off x="6261100" y="23241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dx.doi.org/10.1016/j.biocon.2016.08.014" TargetMode="External"/><Relationship Id="rId98" Type="http://schemas.openxmlformats.org/officeDocument/2006/relationships/hyperlink" Target="http://dx.doi.org/10.1080/02757540.2011.575374" TargetMode="External"/><Relationship Id="rId97" Type="http://schemas.openxmlformats.org/officeDocument/2006/relationships/hyperlink" Target="http://dx.doi.org/10.1002/iroh.201111297" TargetMode="External"/><Relationship Id="rId96" Type="http://schemas.openxmlformats.org/officeDocument/2006/relationships/hyperlink" Target="http://dx.doi.org/10.1007/s11252-011-0217-0" TargetMode="External"/><Relationship Id="rId95" Type="http://schemas.openxmlformats.org/officeDocument/2006/relationships/hyperlink" Target="http://dx.doi.org/10.1590/S1679-62252012000300018" TargetMode="External"/><Relationship Id="rId94" Type="http://schemas.openxmlformats.org/officeDocument/2006/relationships/hyperlink" Target="http://dx.doi.org/10.1007/s10641-012-0024-3" TargetMode="External"/><Relationship Id="rId93" Type="http://schemas.openxmlformats.org/officeDocument/2006/relationships/hyperlink" Target="http://dx.doi.org/10.1111/1365-2664.12022" TargetMode="External"/><Relationship Id="rId92" Type="http://schemas.openxmlformats.org/officeDocument/2006/relationships/hyperlink" Target="http://dx.doi.org/10.1127/fal/2014/0612" TargetMode="External"/><Relationship Id="rId91" Type="http://schemas.openxmlformats.org/officeDocument/2006/relationships/hyperlink" Target="http://dx.doi.org/10.1007/s11252-014-0352-5" TargetMode="External"/><Relationship Id="rId90" Type="http://schemas.openxmlformats.org/officeDocument/2006/relationships/hyperlink" Target="http://dx.doi.org/10.1007/s10750-010-0320-x" TargetMode="External"/><Relationship Id="rId9" Type="http://schemas.openxmlformats.org/officeDocument/2006/relationships/hyperlink" Target="http://dx.doi.org/10.3390/su17010231" TargetMode="External"/><Relationship Id="rId89" Type="http://schemas.openxmlformats.org/officeDocument/2006/relationships/hyperlink" Target="http://dx.doi.org/10.1007/s10452-009-9307-y" TargetMode="External"/><Relationship Id="rId88" Type="http://schemas.openxmlformats.org/officeDocument/2006/relationships/hyperlink" Target="http://dx.doi.org/10.1577/M06-186.1" TargetMode="External"/><Relationship Id="rId87" Type="http://schemas.openxmlformats.org/officeDocument/2006/relationships/hyperlink" Target="http://dx.doi.org/10.1007/s10980-006-9012-3" TargetMode="External"/><Relationship Id="rId86" Type="http://schemas.openxmlformats.org/officeDocument/2006/relationships/hyperlink" Target="http://dx.doi.org/10.1111/j.1366-9516.2005.00226.x" TargetMode="External"/><Relationship Id="rId85" Type="http://schemas.openxmlformats.org/officeDocument/2006/relationships/hyperlink" Target="http://dx.doi.org/10.1016/j.biocon.2005.11.008" TargetMode="External"/><Relationship Id="rId84" Type="http://schemas.openxmlformats.org/officeDocument/2006/relationships/hyperlink" Target="http://dx.doi.org/10.1111/j.1523-1739.2005.00101.x" TargetMode="External"/><Relationship Id="rId83" Type="http://schemas.openxmlformats.org/officeDocument/2006/relationships/hyperlink" Target="http://dx.doi.org/10.1590/1519-6984.03914" TargetMode="External"/><Relationship Id="rId82" Type="http://schemas.openxmlformats.org/officeDocument/2006/relationships/hyperlink" Target="http://dx.doi.org/10.1371/journal.pone.0124807" TargetMode="External"/><Relationship Id="rId81" Type="http://schemas.openxmlformats.org/officeDocument/2006/relationships/hyperlink" Target="http://dx.doi.org/10.1016/j.envpol.2014.09.017" TargetMode="External"/><Relationship Id="rId80" Type="http://schemas.openxmlformats.org/officeDocument/2006/relationships/hyperlink" Target="http://dx.doi.org/10.3389/fmicb.2015.01028" TargetMode="External"/><Relationship Id="rId8" Type="http://schemas.openxmlformats.org/officeDocument/2006/relationships/hyperlink" Target="http://dx.doi.org/10.1016/j.ecolind.2024.112938" TargetMode="External"/><Relationship Id="rId79" Type="http://schemas.openxmlformats.org/officeDocument/2006/relationships/hyperlink" Target="http://dx.doi.org/10.1086/681252" TargetMode="External"/><Relationship Id="rId78" Type="http://schemas.openxmlformats.org/officeDocument/2006/relationships/hyperlink" Target="http://dx.doi.org/10.1007/s10531-015-0990-9" TargetMode="External"/><Relationship Id="rId77" Type="http://schemas.openxmlformats.org/officeDocument/2006/relationships/hyperlink" Target="http://dx.doi.org/10.1007/s40333-016-0084-x" TargetMode="External"/><Relationship Id="rId76" Type="http://schemas.openxmlformats.org/officeDocument/2006/relationships/hyperlink" Target="http://dx.doi.org/10.1002/rra.3031" TargetMode="External"/><Relationship Id="rId75" Type="http://schemas.openxmlformats.org/officeDocument/2006/relationships/hyperlink" Target="http://dx.doi.org/10.1007/s10750-015-2443-6" TargetMode="External"/><Relationship Id="rId74" Type="http://schemas.openxmlformats.org/officeDocument/2006/relationships/hyperlink" Target="http://dx.doi.org/10.1007/s10750-016-2727-5" TargetMode="External"/><Relationship Id="rId73" Type="http://schemas.openxmlformats.org/officeDocument/2006/relationships/hyperlink" Target="http://dx.doi.org/10.1093/jme/tjw045" TargetMode="External"/><Relationship Id="rId72" Type="http://schemas.openxmlformats.org/officeDocument/2006/relationships/hyperlink" Target="http://dx.doi.org/10.1016/j.ecolind.2015.06.039" TargetMode="External"/><Relationship Id="rId71" Type="http://schemas.openxmlformats.org/officeDocument/2006/relationships/hyperlink" Target="http://dx.doi.org/10.1590/1519-6984.03515" TargetMode="External"/><Relationship Id="rId70" Type="http://schemas.openxmlformats.org/officeDocument/2006/relationships/hyperlink" Target="http://dx.doi.org/10.1007/s11252-015-0490-4" TargetMode="External"/><Relationship Id="rId7" Type="http://schemas.openxmlformats.org/officeDocument/2006/relationships/hyperlink" Target="http://dx.doi.org/10.1007/s10750-025-05805-5" TargetMode="External"/><Relationship Id="rId69" Type="http://schemas.openxmlformats.org/officeDocument/2006/relationships/hyperlink" Target="http://dx.doi.org/10.1086/686614" TargetMode="External"/><Relationship Id="rId68" Type="http://schemas.openxmlformats.org/officeDocument/2006/relationships/hyperlink" Target="http://dx.doi.org/10.1007/s13157-017-0902-8" TargetMode="External"/><Relationship Id="rId67" Type="http://schemas.openxmlformats.org/officeDocument/2006/relationships/hyperlink" Target="http://dx.doi.org/10.1007/s10531-016-1286-4" TargetMode="External"/><Relationship Id="rId66" Type="http://schemas.openxmlformats.org/officeDocument/2006/relationships/hyperlink" Target="http://dx.doi.org/10.5735/086.054.0504" TargetMode="External"/><Relationship Id="rId65" Type="http://schemas.openxmlformats.org/officeDocument/2006/relationships/hyperlink" Target="http://dx.doi.org/10.1007/s11270-018-3688-2" TargetMode="External"/><Relationship Id="rId64" Type="http://schemas.openxmlformats.org/officeDocument/2006/relationships/hyperlink" Target="http://dx.doi.org/10.1007/s12237-017-0347-6" TargetMode="External"/><Relationship Id="rId63" Type="http://schemas.openxmlformats.org/officeDocument/2006/relationships/hyperlink" Target="http://dx.doi.org/10.1016/j.scitotenv.2018.01.231" TargetMode="External"/><Relationship Id="rId62" Type="http://schemas.openxmlformats.org/officeDocument/2006/relationships/hyperlink" Target="http://dx.doi.org/10.1016/j.scitotenv.2017.10.068" TargetMode="External"/><Relationship Id="rId61" Type="http://schemas.openxmlformats.org/officeDocument/2006/relationships/hyperlink" Target="http://dx.doi.org/10.1007/s11270-018-4054-0" TargetMode="External"/><Relationship Id="rId60" Type="http://schemas.openxmlformats.org/officeDocument/2006/relationships/hyperlink" Target="http://dx.doi.org/10.3390/w11091930" TargetMode="External"/><Relationship Id="rId6" Type="http://schemas.openxmlformats.org/officeDocument/2006/relationships/hyperlink" Target="http://dx.doi.org/10.1016/j.scitotenv.2015.07.066" TargetMode="External"/><Relationship Id="rId59" Type="http://schemas.openxmlformats.org/officeDocument/2006/relationships/hyperlink" Target="http://dx.doi.org/10.1007/s11252-018-0802-6" TargetMode="External"/><Relationship Id="rId58" Type="http://schemas.openxmlformats.org/officeDocument/2006/relationships/hyperlink" Target="http://dx.doi.org/10.1007/s00027-019-0655-y" TargetMode="External"/><Relationship Id="rId57" Type="http://schemas.openxmlformats.org/officeDocument/2006/relationships/hyperlink" Target="http://dx.doi.org/10.2984/73.3.1" TargetMode="External"/><Relationship Id="rId56" Type="http://schemas.openxmlformats.org/officeDocument/2006/relationships/hyperlink" Target="http://dx.doi.org/10.1016/j.ecolind.2019.01.063" TargetMode="External"/><Relationship Id="rId55" Type="http://schemas.openxmlformats.org/officeDocument/2006/relationships/hyperlink" Target="http://dx.doi.org/10.1086/706072" TargetMode="External"/><Relationship Id="rId54" Type="http://schemas.openxmlformats.org/officeDocument/2006/relationships/hyperlink" Target="http://dx.doi.org/10.1007/s12526-018-0883-8" TargetMode="External"/><Relationship Id="rId53" Type="http://schemas.openxmlformats.org/officeDocument/2006/relationships/hyperlink" Target="http://dx.doi.org/10.1186/s13717-019-0196-2" TargetMode="External"/><Relationship Id="rId52" Type="http://schemas.openxmlformats.org/officeDocument/2006/relationships/hyperlink" Target="http://dx.doi.org/10.26028/cybium/2019-433-005" TargetMode="External"/><Relationship Id="rId51" Type="http://schemas.openxmlformats.org/officeDocument/2006/relationships/hyperlink" Target="http://dx.doi.org/10.1007/s11252-019-00862-w" TargetMode="External"/><Relationship Id="rId50" Type="http://schemas.openxmlformats.org/officeDocument/2006/relationships/hyperlink" Target="http://dx.doi.org/10.1007/s11252-020-01012-3" TargetMode="External"/><Relationship Id="rId5" Type="http://schemas.openxmlformats.org/officeDocument/2006/relationships/hyperlink" Target="http://dx.doi.org/10.3390/d11060086" TargetMode="External"/><Relationship Id="rId49" Type="http://schemas.openxmlformats.org/officeDocument/2006/relationships/hyperlink" Target="http://dx.doi.org/10.3390/w12113111" TargetMode="External"/><Relationship Id="rId48" Type="http://schemas.openxmlformats.org/officeDocument/2006/relationships/hyperlink" Target="http://dx.doi.org/10.1007/s13157-020-01317-1" TargetMode="External"/><Relationship Id="rId47" Type="http://schemas.openxmlformats.org/officeDocument/2006/relationships/hyperlink" Target="http://dx.doi.org/10.1016/j.ecss.2020.106729" TargetMode="External"/><Relationship Id="rId46" Type="http://schemas.openxmlformats.org/officeDocument/2006/relationships/hyperlink" Target="http://dx.doi.org/10.1590/0001-3765202020190476" TargetMode="External"/><Relationship Id="rId45" Type="http://schemas.openxmlformats.org/officeDocument/2006/relationships/hyperlink" Target="http://dx.doi.org/10.1371/journal.pone.0234303" TargetMode="External"/><Relationship Id="rId44" Type="http://schemas.openxmlformats.org/officeDocument/2006/relationships/hyperlink" Target="http://dx.doi.org/10.1016/j.ecolind.2019.105899" TargetMode="External"/><Relationship Id="rId43" Type="http://schemas.openxmlformats.org/officeDocument/2006/relationships/hyperlink" Target="http://dx.doi.org/10.1155/2020/8653486" TargetMode="External"/><Relationship Id="rId42" Type="http://schemas.openxmlformats.org/officeDocument/2006/relationships/hyperlink" Target="http://dx.doi.org/10.1007/s10531-020-01977-9" TargetMode="External"/><Relationship Id="rId41" Type="http://schemas.openxmlformats.org/officeDocument/2006/relationships/hyperlink" Target="http://dx.doi.org/10.3390/w12030698" TargetMode="External"/><Relationship Id="rId40" Type="http://schemas.openxmlformats.org/officeDocument/2006/relationships/hyperlink" Target="http://dx.doi.org/10.1007/s10750-021-04657-z" TargetMode="External"/><Relationship Id="rId4" Type="http://schemas.openxmlformats.org/officeDocument/2006/relationships/hyperlink" Target="http://dx.doi.org/10.1016/j.ecohyd.2021.08.006" TargetMode="External"/><Relationship Id="rId39" Type="http://schemas.openxmlformats.org/officeDocument/2006/relationships/hyperlink" Target="http://dx.doi.org/10.1007/s11356-021-13867-w" TargetMode="External"/><Relationship Id="rId38" Type="http://schemas.openxmlformats.org/officeDocument/2006/relationships/hyperlink" Target="http://dx.doi.org/10.38201/btha.abc.v51.i1.4" TargetMode="External"/><Relationship Id="rId37" Type="http://schemas.openxmlformats.org/officeDocument/2006/relationships/hyperlink" Target="http://dx.doi.org/10.1051/limn/2021010" TargetMode="External"/><Relationship Id="rId36" Type="http://schemas.openxmlformats.org/officeDocument/2006/relationships/hyperlink" Target="http://dx.doi.org/10.1590/1676-0611-BN-2020-1122" TargetMode="External"/><Relationship Id="rId35" Type="http://schemas.openxmlformats.org/officeDocument/2006/relationships/hyperlink" Target="http://dx.doi.org/10.1111/avsc.12550" TargetMode="External"/><Relationship Id="rId34" Type="http://schemas.openxmlformats.org/officeDocument/2006/relationships/hyperlink" Target="http://dx.doi.org/10.1016/j.ecolind.2020.106944" TargetMode="External"/><Relationship Id="rId33" Type="http://schemas.openxmlformats.org/officeDocument/2006/relationships/hyperlink" Target="http://dx.doi.org/10.1080/02757540.2022.2094918" TargetMode="External"/><Relationship Id="rId32" Type="http://schemas.openxmlformats.org/officeDocument/2006/relationships/hyperlink" Target="http://dx.doi.org/10.1002/lno.12179" TargetMode="External"/><Relationship Id="rId31" Type="http://schemas.openxmlformats.org/officeDocument/2006/relationships/hyperlink" Target="http://dx.doi.org/10.3390/w14233793" TargetMode="External"/><Relationship Id="rId30" Type="http://schemas.openxmlformats.org/officeDocument/2006/relationships/hyperlink" Target="http://dx.doi.org/10.1007/s11252-022-01248-1" TargetMode="External"/><Relationship Id="rId3" Type="http://schemas.openxmlformats.org/officeDocument/2006/relationships/hyperlink" Target="http://dx.doi.org/10.3390/ani12040473" TargetMode="External"/><Relationship Id="rId29" Type="http://schemas.openxmlformats.org/officeDocument/2006/relationships/hyperlink" Target="http://dx.doi.org/10.1016/j.scitotenv.2022.153940" TargetMode="External"/><Relationship Id="rId28" Type="http://schemas.openxmlformats.org/officeDocument/2006/relationships/hyperlink" Target="http://dx.doi.org/10.1007/s00027-021-00832-5" TargetMode="External"/><Relationship Id="rId27" Type="http://schemas.openxmlformats.org/officeDocument/2006/relationships/hyperlink" Target="http://dx.doi.org/10.1016/j.jes.2021.05.001" TargetMode="External"/><Relationship Id="rId26" Type="http://schemas.openxmlformats.org/officeDocument/2006/relationships/hyperlink" Target="http://dx.doi.org/10.1007/s11252-021-01174-8" TargetMode="External"/><Relationship Id="rId25" Type="http://schemas.openxmlformats.org/officeDocument/2006/relationships/hyperlink" Target="http://dx.doi.org/10.1088/1748-9326/ac444f" TargetMode="External"/><Relationship Id="rId24" Type="http://schemas.openxmlformats.org/officeDocument/2006/relationships/hyperlink" Target="http://dx.doi.org/10.1016/j.scitotenv.2021.151974" TargetMode="External"/><Relationship Id="rId23" Type="http://schemas.openxmlformats.org/officeDocument/2006/relationships/hyperlink" Target="http://dx.doi.org/10.1007/s11252-022-01238-3" TargetMode="External"/><Relationship Id="rId22" Type="http://schemas.openxmlformats.org/officeDocument/2006/relationships/hyperlink" Target="http://dx.doi.org/10.1016/j.ecolind.2023.110991" TargetMode="External"/><Relationship Id="rId21" Type="http://schemas.openxmlformats.org/officeDocument/2006/relationships/hyperlink" Target="http://dx.doi.org/10.3389/fevo.2023.1121400" TargetMode="External"/><Relationship Id="rId20" Type="http://schemas.openxmlformats.org/officeDocument/2006/relationships/hyperlink" Target="http://dx.doi.org/10.1007/s10750-022-05130-1" TargetMode="External"/><Relationship Id="rId2" Type="http://schemas.openxmlformats.org/officeDocument/2006/relationships/hyperlink" Target="http://dx.doi.org/10.7773/cm.y2023.3355" TargetMode="External"/><Relationship Id="rId19" Type="http://schemas.openxmlformats.org/officeDocument/2006/relationships/hyperlink" Target="http://dx.doi.org/10.1016/j.limno.2023.126082" TargetMode="External"/><Relationship Id="rId18" Type="http://schemas.openxmlformats.org/officeDocument/2006/relationships/hyperlink" Target="http://dx.doi.org/10.1002/eap.2828" TargetMode="External"/><Relationship Id="rId17" Type="http://schemas.openxmlformats.org/officeDocument/2006/relationships/hyperlink" Target="http://dx.doi.org/10.1007/s10841-022-00453-9" TargetMode="External"/><Relationship Id="rId16" Type="http://schemas.openxmlformats.org/officeDocument/2006/relationships/hyperlink" Target="http://dx.doi.org/10.1016/j.watres.2024.121480" TargetMode="External"/><Relationship Id="rId15" Type="http://schemas.openxmlformats.org/officeDocument/2006/relationships/hyperlink" Target="http://dx.doi.org/10.3390/w16233467" TargetMode="External"/><Relationship Id="rId14" Type="http://schemas.openxmlformats.org/officeDocument/2006/relationships/hyperlink" Target="http://dx.doi.org/10.1007/s11252-024-01540-2" TargetMode="External"/><Relationship Id="rId13" Type="http://schemas.openxmlformats.org/officeDocument/2006/relationships/hyperlink" Target="http://dx.doi.org/10.1016/j.scitotenv.2023.168178" TargetMode="External"/><Relationship Id="rId121" Type="http://schemas.openxmlformats.org/officeDocument/2006/relationships/hyperlink" Target="http://dx.doi.org/10.1007/s13157-024-01878-5" TargetMode="External"/><Relationship Id="rId120" Type="http://schemas.openxmlformats.org/officeDocument/2006/relationships/hyperlink" Target="http://dx.doi.org/10.3390/d15040486" TargetMode="External"/><Relationship Id="rId12" Type="http://schemas.openxmlformats.org/officeDocument/2006/relationships/hyperlink" Target="http://dx.doi.org/10.1007/s11252-023-01501-1" TargetMode="External"/><Relationship Id="rId119" Type="http://schemas.openxmlformats.org/officeDocument/2006/relationships/hyperlink" Target="http://dx.doi.org/10.3389/fmars.2021.670288" TargetMode="External"/><Relationship Id="rId118" Type="http://schemas.openxmlformats.org/officeDocument/2006/relationships/hyperlink" Target="http://dx.doi.org/10.1007/s00027-025-01162-6" TargetMode="External"/><Relationship Id="rId117" Type="http://schemas.openxmlformats.org/officeDocument/2006/relationships/hyperlink" Target="http://dx.doi.org/10.1016/j.ecolind.2020.106506" TargetMode="External"/><Relationship Id="rId116" Type="http://schemas.openxmlformats.org/officeDocument/2006/relationships/hyperlink" Target="http://dx.doi.org/10.1016/j.baae.2021.09.005" TargetMode="External"/><Relationship Id="rId115" Type="http://schemas.openxmlformats.org/officeDocument/2006/relationships/hyperlink" Target="http://dx.doi.org/10.1016/j.ecolind.2022.109441" TargetMode="External"/><Relationship Id="rId114" Type="http://schemas.openxmlformats.org/officeDocument/2006/relationships/hyperlink" Target="http://dx.doi.org/10.1016/j.ecolind.2024.111706" TargetMode="External"/><Relationship Id="rId113" Type="http://schemas.openxmlformats.org/officeDocument/2006/relationships/hyperlink" Target="https://doi.org/10.1080/00275514.2025.2462525" TargetMode="External"/><Relationship Id="rId112" Type="http://schemas.openxmlformats.org/officeDocument/2006/relationships/hyperlink" Target="https://doi.org/10.1002/lno.70221" TargetMode="External"/><Relationship Id="rId111" Type="http://schemas.openxmlformats.org/officeDocument/2006/relationships/hyperlink" Target="https://doi.org/10.1016/j.jenvman.2025.127190" TargetMode="External"/><Relationship Id="rId110" Type="http://schemas.openxmlformats.org/officeDocument/2006/relationships/hyperlink" Target="https://doi.org/10.1016/j.ufug.2025.128862" TargetMode="External"/><Relationship Id="rId11" Type="http://schemas.openxmlformats.org/officeDocument/2006/relationships/hyperlink" Target="http://dx.doi.org/10.1007/s00027-024-01129-z" TargetMode="External"/><Relationship Id="rId109" Type="http://schemas.openxmlformats.org/officeDocument/2006/relationships/hyperlink" Target="https://doi.org/10.1016/j.ecolind.2025.114363" TargetMode="External"/><Relationship Id="rId108" Type="http://schemas.openxmlformats.org/officeDocument/2006/relationships/hyperlink" Target="https://doi.org/10.34133/ehs.0450" TargetMode="External"/><Relationship Id="rId107" Type="http://schemas.openxmlformats.org/officeDocument/2006/relationships/hyperlink" Target="https://doi.org/10.1016/j.ecolind.2025.113907" TargetMode="External"/><Relationship Id="rId106" Type="http://schemas.openxmlformats.org/officeDocument/2006/relationships/hyperlink" Target="https://doi.org/10.1007/s11252-025-01844-x" TargetMode="External"/><Relationship Id="rId105" Type="http://schemas.openxmlformats.org/officeDocument/2006/relationships/hyperlink" Target="https://doi.org/10.3390/d17090642" TargetMode="External"/><Relationship Id="rId104" Type="http://schemas.openxmlformats.org/officeDocument/2006/relationships/hyperlink" Target="https://doi.org/10.1016/j.ecolind.2025.114259" TargetMode="External"/><Relationship Id="rId103" Type="http://schemas.openxmlformats.org/officeDocument/2006/relationships/hyperlink" Target="https://doi.org/10.1093/cz/zoaf024" TargetMode="External"/><Relationship Id="rId102" Type="http://schemas.openxmlformats.org/officeDocument/2006/relationships/hyperlink" Target="https://doi.org/10.1016/j.ecoenv.2025.118930" TargetMode="External"/><Relationship Id="rId101" Type="http://schemas.openxmlformats.org/officeDocument/2006/relationships/hyperlink" Target="https://doi.org/10.1186/s12862-025-02390-y" TargetMode="External"/><Relationship Id="rId100" Type="http://schemas.openxmlformats.org/officeDocument/2006/relationships/hyperlink" Target="https://doi.org/10.1007/s11252-025-01808-1" TargetMode="External"/><Relationship Id="rId10" Type="http://schemas.openxmlformats.org/officeDocument/2006/relationships/hyperlink" Target="http://dx.doi.org/10.1016/j.jenvman.2024.123937" TargetMode="External"/><Relationship Id="rId1" Type="http://schemas.openxmlformats.org/officeDocument/2006/relationships/hyperlink" Target="http://dx.doi.org/10.3389/fevo.2024.1479231"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doi.org/10.1016/j.ecoenv.2025.118930" TargetMode="External"/><Relationship Id="rId98" Type="http://schemas.openxmlformats.org/officeDocument/2006/relationships/hyperlink" Target="https://doi.org/10.1186/s12862-025-02390-y" TargetMode="External"/><Relationship Id="rId97" Type="http://schemas.openxmlformats.org/officeDocument/2006/relationships/hyperlink" Target="https://doi.org/10.1007/s11252-025-01808-1" TargetMode="External"/><Relationship Id="rId96" Type="http://schemas.openxmlformats.org/officeDocument/2006/relationships/hyperlink" Target="http://dx.doi.org/10.1016/j.biocon.2016.08.014" TargetMode="External"/><Relationship Id="rId95" Type="http://schemas.openxmlformats.org/officeDocument/2006/relationships/hyperlink" Target="http://dx.doi.org/10.1080/02757540.2011.575374" TargetMode="External"/><Relationship Id="rId94" Type="http://schemas.openxmlformats.org/officeDocument/2006/relationships/hyperlink" Target="http://dx.doi.org/10.1007/s11252-011-0217-0" TargetMode="External"/><Relationship Id="rId93" Type="http://schemas.openxmlformats.org/officeDocument/2006/relationships/hyperlink" Target="http://dx.doi.org/10.1590/S1679-62252012000300018" TargetMode="External"/><Relationship Id="rId92" Type="http://schemas.openxmlformats.org/officeDocument/2006/relationships/hyperlink" Target="http://dx.doi.org/10.1007/s10641-012-0024-3" TargetMode="External"/><Relationship Id="rId91" Type="http://schemas.openxmlformats.org/officeDocument/2006/relationships/hyperlink" Target="http://dx.doi.org/10.1111/1365-2664.12022" TargetMode="External"/><Relationship Id="rId90" Type="http://schemas.openxmlformats.org/officeDocument/2006/relationships/hyperlink" Target="http://dx.doi.org/10.1127/fal/2014/0612" TargetMode="External"/><Relationship Id="rId9" Type="http://schemas.openxmlformats.org/officeDocument/2006/relationships/hyperlink" Target="http://dx.doi.org/10.1016/j.jenvman.2024.123937" TargetMode="External"/><Relationship Id="rId89" Type="http://schemas.openxmlformats.org/officeDocument/2006/relationships/hyperlink" Target="http://dx.doi.org/10.1007/s11252-014-0352-5" TargetMode="External"/><Relationship Id="rId88" Type="http://schemas.openxmlformats.org/officeDocument/2006/relationships/hyperlink" Target="http://dx.doi.org/10.1007/s10750-010-0320-x" TargetMode="External"/><Relationship Id="rId87" Type="http://schemas.openxmlformats.org/officeDocument/2006/relationships/hyperlink" Target="http://dx.doi.org/10.1007/s10452-009-9307-y" TargetMode="External"/><Relationship Id="rId86" Type="http://schemas.openxmlformats.org/officeDocument/2006/relationships/hyperlink" Target="http://dx.doi.org/10.1577/M06-186.1" TargetMode="External"/><Relationship Id="rId85" Type="http://schemas.openxmlformats.org/officeDocument/2006/relationships/hyperlink" Target="http://dx.doi.org/10.1007/s10980-006-9012-3" TargetMode="External"/><Relationship Id="rId84" Type="http://schemas.openxmlformats.org/officeDocument/2006/relationships/hyperlink" Target="http://dx.doi.org/10.1111/j.1366-9516.2005.00226.x" TargetMode="External"/><Relationship Id="rId83" Type="http://schemas.openxmlformats.org/officeDocument/2006/relationships/hyperlink" Target="http://dx.doi.org/10.1016/j.biocon.2005.11.008" TargetMode="External"/><Relationship Id="rId82" Type="http://schemas.openxmlformats.org/officeDocument/2006/relationships/hyperlink" Target="http://dx.doi.org/10.1111/j.1523-1739.2005.00101.x" TargetMode="External"/><Relationship Id="rId81" Type="http://schemas.openxmlformats.org/officeDocument/2006/relationships/hyperlink" Target="http://dx.doi.org/10.1590/1519-6984.03914" TargetMode="External"/><Relationship Id="rId80" Type="http://schemas.openxmlformats.org/officeDocument/2006/relationships/hyperlink" Target="http://dx.doi.org/10.1371/journal.pone.0124807" TargetMode="External"/><Relationship Id="rId8" Type="http://schemas.openxmlformats.org/officeDocument/2006/relationships/hyperlink" Target="http://dx.doi.org/10.3390/su17010231" TargetMode="External"/><Relationship Id="rId79" Type="http://schemas.openxmlformats.org/officeDocument/2006/relationships/hyperlink" Target="http://dx.doi.org/10.1016/j.envpol.2014.09.017" TargetMode="External"/><Relationship Id="rId78" Type="http://schemas.openxmlformats.org/officeDocument/2006/relationships/hyperlink" Target="http://dx.doi.org/10.3389/fmicb.2015.01028" TargetMode="External"/><Relationship Id="rId77" Type="http://schemas.openxmlformats.org/officeDocument/2006/relationships/hyperlink" Target="http://dx.doi.org/10.1086/681252" TargetMode="External"/><Relationship Id="rId76" Type="http://schemas.openxmlformats.org/officeDocument/2006/relationships/hyperlink" Target="http://dx.doi.org/10.1007/s10531-015-0990-9" TargetMode="External"/><Relationship Id="rId75" Type="http://schemas.openxmlformats.org/officeDocument/2006/relationships/hyperlink" Target="http://dx.doi.org/10.1007/s40333-016-0084-x" TargetMode="External"/><Relationship Id="rId74" Type="http://schemas.openxmlformats.org/officeDocument/2006/relationships/hyperlink" Target="http://dx.doi.org/10.1002/rra.3031" TargetMode="External"/><Relationship Id="rId73" Type="http://schemas.openxmlformats.org/officeDocument/2006/relationships/hyperlink" Target="http://dx.doi.org/10.1007/s10750-015-2443-6" TargetMode="External"/><Relationship Id="rId72" Type="http://schemas.openxmlformats.org/officeDocument/2006/relationships/hyperlink" Target="http://dx.doi.org/10.1007/s10750-016-2727-5" TargetMode="External"/><Relationship Id="rId71" Type="http://schemas.openxmlformats.org/officeDocument/2006/relationships/hyperlink" Target="http://dx.doi.org/10.1093/jme/tjw045" TargetMode="External"/><Relationship Id="rId70" Type="http://schemas.openxmlformats.org/officeDocument/2006/relationships/hyperlink" Target="http://dx.doi.org/10.1016/j.ecolind.2015.06.039" TargetMode="External"/><Relationship Id="rId7" Type="http://schemas.openxmlformats.org/officeDocument/2006/relationships/hyperlink" Target="http://dx.doi.org/10.1016/j.ecolind.2024.112938" TargetMode="External"/><Relationship Id="rId69" Type="http://schemas.openxmlformats.org/officeDocument/2006/relationships/hyperlink" Target="http://dx.doi.org/10.1590/1519-6984.03515" TargetMode="External"/><Relationship Id="rId68" Type="http://schemas.openxmlformats.org/officeDocument/2006/relationships/hyperlink" Target="http://dx.doi.org/10.1007/s11252-015-0490-4" TargetMode="External"/><Relationship Id="rId67" Type="http://schemas.openxmlformats.org/officeDocument/2006/relationships/hyperlink" Target="http://dx.doi.org/10.1086/686614" TargetMode="External"/><Relationship Id="rId66" Type="http://schemas.openxmlformats.org/officeDocument/2006/relationships/hyperlink" Target="http://dx.doi.org/10.1007/s13157-017-0902-8" TargetMode="External"/><Relationship Id="rId65" Type="http://schemas.openxmlformats.org/officeDocument/2006/relationships/hyperlink" Target="http://dx.doi.org/10.1007/s10531-016-1286-4" TargetMode="External"/><Relationship Id="rId64" Type="http://schemas.openxmlformats.org/officeDocument/2006/relationships/hyperlink" Target="http://dx.doi.org/10.5735/086.054.0504" TargetMode="External"/><Relationship Id="rId63" Type="http://schemas.openxmlformats.org/officeDocument/2006/relationships/hyperlink" Target="http://dx.doi.org/10.1007/s11270-018-3688-2" TargetMode="External"/><Relationship Id="rId62" Type="http://schemas.openxmlformats.org/officeDocument/2006/relationships/hyperlink" Target="http://dx.doi.org/10.1007/s12237-017-0347-6" TargetMode="External"/><Relationship Id="rId61" Type="http://schemas.openxmlformats.org/officeDocument/2006/relationships/hyperlink" Target="http://dx.doi.org/10.1016/j.scitotenv.2018.01.231" TargetMode="External"/><Relationship Id="rId60" Type="http://schemas.openxmlformats.org/officeDocument/2006/relationships/hyperlink" Target="http://dx.doi.org/10.1016/j.scitotenv.2017.10.068" TargetMode="External"/><Relationship Id="rId6" Type="http://schemas.openxmlformats.org/officeDocument/2006/relationships/hyperlink" Target="http://dx.doi.org/10.1007/s10750-025-05805-5" TargetMode="External"/><Relationship Id="rId59" Type="http://schemas.openxmlformats.org/officeDocument/2006/relationships/hyperlink" Target="http://dx.doi.org/10.1007/s11270-018-4054-0" TargetMode="External"/><Relationship Id="rId58" Type="http://schemas.openxmlformats.org/officeDocument/2006/relationships/hyperlink" Target="http://dx.doi.org/10.3390/w11091930" TargetMode="External"/><Relationship Id="rId57" Type="http://schemas.openxmlformats.org/officeDocument/2006/relationships/hyperlink" Target="http://dx.doi.org/10.1007/s11252-018-0802-6" TargetMode="External"/><Relationship Id="rId56" Type="http://schemas.openxmlformats.org/officeDocument/2006/relationships/hyperlink" Target="http://dx.doi.org/10.1007/s00027-019-0655-y" TargetMode="External"/><Relationship Id="rId55" Type="http://schemas.openxmlformats.org/officeDocument/2006/relationships/hyperlink" Target="http://dx.doi.org/10.2984/73.3.1" TargetMode="External"/><Relationship Id="rId54" Type="http://schemas.openxmlformats.org/officeDocument/2006/relationships/hyperlink" Target="http://dx.doi.org/10.1016/j.ecolind.2019.01.063" TargetMode="External"/><Relationship Id="rId53" Type="http://schemas.openxmlformats.org/officeDocument/2006/relationships/hyperlink" Target="http://dx.doi.org/10.1086/706072" TargetMode="External"/><Relationship Id="rId52" Type="http://schemas.openxmlformats.org/officeDocument/2006/relationships/hyperlink" Target="http://dx.doi.org/10.1007/s12526-018-0883-8" TargetMode="External"/><Relationship Id="rId51" Type="http://schemas.openxmlformats.org/officeDocument/2006/relationships/hyperlink" Target="http://dx.doi.org/10.1186/s13717-019-0196-2" TargetMode="External"/><Relationship Id="rId50" Type="http://schemas.openxmlformats.org/officeDocument/2006/relationships/hyperlink" Target="http://dx.doi.org/10.26028/cybium/2019-433-005" TargetMode="External"/><Relationship Id="rId5" Type="http://schemas.openxmlformats.org/officeDocument/2006/relationships/hyperlink" Target="http://dx.doi.org/10.1016/j.scitotenv.2015.07.066" TargetMode="External"/><Relationship Id="rId49" Type="http://schemas.openxmlformats.org/officeDocument/2006/relationships/hyperlink" Target="http://dx.doi.org/10.1007/s11252-019-00862-w" TargetMode="External"/><Relationship Id="rId48" Type="http://schemas.openxmlformats.org/officeDocument/2006/relationships/hyperlink" Target="http://dx.doi.org/10.1007/s11252-020-01012-3" TargetMode="External"/><Relationship Id="rId47" Type="http://schemas.openxmlformats.org/officeDocument/2006/relationships/hyperlink" Target="http://dx.doi.org/10.3390/w12113111" TargetMode="External"/><Relationship Id="rId46" Type="http://schemas.openxmlformats.org/officeDocument/2006/relationships/hyperlink" Target="http://dx.doi.org/10.1007/s13157-020-01317-1" TargetMode="External"/><Relationship Id="rId45" Type="http://schemas.openxmlformats.org/officeDocument/2006/relationships/hyperlink" Target="http://dx.doi.org/10.1016/j.ecss.2020.106729" TargetMode="External"/><Relationship Id="rId44" Type="http://schemas.openxmlformats.org/officeDocument/2006/relationships/hyperlink" Target="http://dx.doi.org/10.1590/0001-3765202020190476" TargetMode="External"/><Relationship Id="rId43" Type="http://schemas.openxmlformats.org/officeDocument/2006/relationships/hyperlink" Target="http://dx.doi.org/10.1371/journal.pone.0234303" TargetMode="External"/><Relationship Id="rId42" Type="http://schemas.openxmlformats.org/officeDocument/2006/relationships/hyperlink" Target="http://dx.doi.org/10.1155/2020/8653486" TargetMode="External"/><Relationship Id="rId41" Type="http://schemas.openxmlformats.org/officeDocument/2006/relationships/hyperlink" Target="http://dx.doi.org/10.1007/s10531-020-01977-9" TargetMode="External"/><Relationship Id="rId40" Type="http://schemas.openxmlformats.org/officeDocument/2006/relationships/hyperlink" Target="http://dx.doi.org/10.3390/w12030698" TargetMode="External"/><Relationship Id="rId4" Type="http://schemas.openxmlformats.org/officeDocument/2006/relationships/hyperlink" Target="http://dx.doi.org/10.3390/d11060086" TargetMode="External"/><Relationship Id="rId39" Type="http://schemas.openxmlformats.org/officeDocument/2006/relationships/hyperlink" Target="http://dx.doi.org/10.1007/s10750-021-04657-z" TargetMode="External"/><Relationship Id="rId38" Type="http://schemas.openxmlformats.org/officeDocument/2006/relationships/hyperlink" Target="http://dx.doi.org/10.1007/s11356-021-13867-w" TargetMode="External"/><Relationship Id="rId37" Type="http://schemas.openxmlformats.org/officeDocument/2006/relationships/hyperlink" Target="http://dx.doi.org/10.38201/btha.abc.v51.i1.4" TargetMode="External"/><Relationship Id="rId36" Type="http://schemas.openxmlformats.org/officeDocument/2006/relationships/hyperlink" Target="http://dx.doi.org/10.1051/limn/2021010" TargetMode="External"/><Relationship Id="rId35" Type="http://schemas.openxmlformats.org/officeDocument/2006/relationships/hyperlink" Target="http://dx.doi.org/10.1590/1676-0611-BN-2020-1122" TargetMode="External"/><Relationship Id="rId34" Type="http://schemas.openxmlformats.org/officeDocument/2006/relationships/hyperlink" Target="http://dx.doi.org/10.1111/avsc.12550" TargetMode="External"/><Relationship Id="rId33" Type="http://schemas.openxmlformats.org/officeDocument/2006/relationships/hyperlink" Target="http://dx.doi.org/10.1016/j.ecolind.2020.106944" TargetMode="External"/><Relationship Id="rId32" Type="http://schemas.openxmlformats.org/officeDocument/2006/relationships/hyperlink" Target="http://dx.doi.org/10.1080/02757540.2022.2094918" TargetMode="External"/><Relationship Id="rId31" Type="http://schemas.openxmlformats.org/officeDocument/2006/relationships/hyperlink" Target="http://dx.doi.org/10.1002/lno.12179" TargetMode="External"/><Relationship Id="rId30" Type="http://schemas.openxmlformats.org/officeDocument/2006/relationships/hyperlink" Target="http://dx.doi.org/10.3390/w14233793" TargetMode="External"/><Relationship Id="rId3" Type="http://schemas.openxmlformats.org/officeDocument/2006/relationships/hyperlink" Target="http://dx.doi.org/10.1016/j.ecohyd.2021.08.006" TargetMode="External"/><Relationship Id="rId29" Type="http://schemas.openxmlformats.org/officeDocument/2006/relationships/hyperlink" Target="http://dx.doi.org/10.1007/s11252-022-01248-1" TargetMode="External"/><Relationship Id="rId28" Type="http://schemas.openxmlformats.org/officeDocument/2006/relationships/hyperlink" Target="http://dx.doi.org/10.1016/j.scitotenv.2022.153940" TargetMode="External"/><Relationship Id="rId27" Type="http://schemas.openxmlformats.org/officeDocument/2006/relationships/hyperlink" Target="http://dx.doi.org/10.1007/s00027-021-00832-5" TargetMode="External"/><Relationship Id="rId26" Type="http://schemas.openxmlformats.org/officeDocument/2006/relationships/hyperlink" Target="http://dx.doi.org/10.1016/j.jes.2021.05.001" TargetMode="External"/><Relationship Id="rId25" Type="http://schemas.openxmlformats.org/officeDocument/2006/relationships/hyperlink" Target="http://dx.doi.org/10.1007/s11252-021-01174-8" TargetMode="External"/><Relationship Id="rId24" Type="http://schemas.openxmlformats.org/officeDocument/2006/relationships/hyperlink" Target="http://dx.doi.org/10.1088/1748-9326/ac444f" TargetMode="External"/><Relationship Id="rId23" Type="http://schemas.openxmlformats.org/officeDocument/2006/relationships/hyperlink" Target="http://dx.doi.org/10.1016/j.scitotenv.2021.151974" TargetMode="External"/><Relationship Id="rId22" Type="http://schemas.openxmlformats.org/officeDocument/2006/relationships/hyperlink" Target="http://dx.doi.org/10.1007/s11252-022-01238-3" TargetMode="External"/><Relationship Id="rId21" Type="http://schemas.openxmlformats.org/officeDocument/2006/relationships/hyperlink" Target="http://dx.doi.org/10.1016/j.ecolind.2023.110991" TargetMode="External"/><Relationship Id="rId20" Type="http://schemas.openxmlformats.org/officeDocument/2006/relationships/hyperlink" Target="http://dx.doi.org/10.3389/fevo.2023.1121400" TargetMode="External"/><Relationship Id="rId2" Type="http://schemas.openxmlformats.org/officeDocument/2006/relationships/hyperlink" Target="http://dx.doi.org/10.7773/cm.y2023.3355" TargetMode="External"/><Relationship Id="rId19" Type="http://schemas.openxmlformats.org/officeDocument/2006/relationships/hyperlink" Target="http://dx.doi.org/10.1007/s10750-022-05130-1" TargetMode="External"/><Relationship Id="rId18" Type="http://schemas.openxmlformats.org/officeDocument/2006/relationships/hyperlink" Target="http://dx.doi.org/10.1016/j.limno.2023.126082" TargetMode="External"/><Relationship Id="rId17" Type="http://schemas.openxmlformats.org/officeDocument/2006/relationships/hyperlink" Target="http://dx.doi.org/10.1002/eap.2828" TargetMode="External"/><Relationship Id="rId16" Type="http://schemas.openxmlformats.org/officeDocument/2006/relationships/hyperlink" Target="http://dx.doi.org/10.1007/s10841-022-00453-9" TargetMode="External"/><Relationship Id="rId15" Type="http://schemas.openxmlformats.org/officeDocument/2006/relationships/hyperlink" Target="http://dx.doi.org/10.1016/j.watres.2024.121480" TargetMode="External"/><Relationship Id="rId14" Type="http://schemas.openxmlformats.org/officeDocument/2006/relationships/hyperlink" Target="http://dx.doi.org/10.3390/w16233467" TargetMode="External"/><Relationship Id="rId13" Type="http://schemas.openxmlformats.org/officeDocument/2006/relationships/hyperlink" Target="http://dx.doi.org/10.1007/s11252-024-01540-2" TargetMode="External"/><Relationship Id="rId121" Type="http://schemas.openxmlformats.org/officeDocument/2006/relationships/hyperlink" Target="http://dx.doi.org/10.1007/s13157-024-01878-5" TargetMode="External"/><Relationship Id="rId120" Type="http://schemas.openxmlformats.org/officeDocument/2006/relationships/hyperlink" Target="http://dx.doi.org/10.3390/d15040486" TargetMode="External"/><Relationship Id="rId12" Type="http://schemas.openxmlformats.org/officeDocument/2006/relationships/hyperlink" Target="http://dx.doi.org/10.1016/j.scitotenv.2023.168178" TargetMode="External"/><Relationship Id="rId119" Type="http://schemas.openxmlformats.org/officeDocument/2006/relationships/hyperlink" Target="http://dx.doi.org/10.3389/fmars.2021.670288" TargetMode="External"/><Relationship Id="rId118" Type="http://schemas.openxmlformats.org/officeDocument/2006/relationships/hyperlink" Target="http://dx.doi.org/10.1002/iroh.201111297" TargetMode="External"/><Relationship Id="rId117" Type="http://schemas.openxmlformats.org/officeDocument/2006/relationships/hyperlink" Target="http://dx.doi.org/10.1016/j.ecolind.2019.105899" TargetMode="External"/><Relationship Id="rId116" Type="http://schemas.openxmlformats.org/officeDocument/2006/relationships/hyperlink" Target="http://dx.doi.org/10.3390/ani12040473" TargetMode="External"/><Relationship Id="rId115" Type="http://schemas.openxmlformats.org/officeDocument/2006/relationships/hyperlink" Target="http://dx.doi.org/10.1007/s00027-025-01162-6" TargetMode="External"/><Relationship Id="rId114" Type="http://schemas.openxmlformats.org/officeDocument/2006/relationships/hyperlink" Target="http://dx.doi.org/10.1016/j.ecolind.2020.106506" TargetMode="External"/><Relationship Id="rId113" Type="http://schemas.openxmlformats.org/officeDocument/2006/relationships/hyperlink" Target="http://dx.doi.org/10.1016/j.baae.2021.09.005" TargetMode="External"/><Relationship Id="rId112" Type="http://schemas.openxmlformats.org/officeDocument/2006/relationships/hyperlink" Target="http://dx.doi.org/10.1016/j.ecolind.2022.109441" TargetMode="External"/><Relationship Id="rId111" Type="http://schemas.openxmlformats.org/officeDocument/2006/relationships/hyperlink" Target="http://dx.doi.org/10.1016/j.ecolind.2024.111706" TargetMode="External"/><Relationship Id="rId110" Type="http://schemas.openxmlformats.org/officeDocument/2006/relationships/hyperlink" Target="https://doi.org/10.1080/00275514.2025.2462525" TargetMode="External"/><Relationship Id="rId11" Type="http://schemas.openxmlformats.org/officeDocument/2006/relationships/hyperlink" Target="http://dx.doi.org/10.1007/s11252-023-01501-1" TargetMode="External"/><Relationship Id="rId109" Type="http://schemas.openxmlformats.org/officeDocument/2006/relationships/hyperlink" Target="https://doi.org/10.1002/lno.70221" TargetMode="External"/><Relationship Id="rId108" Type="http://schemas.openxmlformats.org/officeDocument/2006/relationships/hyperlink" Target="https://doi.org/10.1016/j.jenvman.2025.127190" TargetMode="External"/><Relationship Id="rId107" Type="http://schemas.openxmlformats.org/officeDocument/2006/relationships/hyperlink" Target="https://doi.org/10.1016/j.ufug.2025.128862" TargetMode="External"/><Relationship Id="rId106" Type="http://schemas.openxmlformats.org/officeDocument/2006/relationships/hyperlink" Target="https://doi.org/10.1016/j.ecolind.2025.114363" TargetMode="External"/><Relationship Id="rId105" Type="http://schemas.openxmlformats.org/officeDocument/2006/relationships/hyperlink" Target="https://doi.org/10.34133/ehs.0450" TargetMode="External"/><Relationship Id="rId104" Type="http://schemas.openxmlformats.org/officeDocument/2006/relationships/hyperlink" Target="https://doi.org/10.1016/j.ecolind.2025.113907" TargetMode="External"/><Relationship Id="rId103" Type="http://schemas.openxmlformats.org/officeDocument/2006/relationships/hyperlink" Target="https://doi.org/10.1007/s11252-025-01844-x" TargetMode="External"/><Relationship Id="rId102" Type="http://schemas.openxmlformats.org/officeDocument/2006/relationships/hyperlink" Target="https://doi.org/10.3390/d17090642" TargetMode="External"/><Relationship Id="rId101" Type="http://schemas.openxmlformats.org/officeDocument/2006/relationships/hyperlink" Target="https://doi.org/10.1016/j.ecolind.2025.114259" TargetMode="External"/><Relationship Id="rId100" Type="http://schemas.openxmlformats.org/officeDocument/2006/relationships/hyperlink" Target="https://doi.org/10.1093/cz/zoaf024" TargetMode="External"/><Relationship Id="rId10" Type="http://schemas.openxmlformats.org/officeDocument/2006/relationships/hyperlink" Target="http://dx.doi.org/10.1007/s00027-024-01129-z" TargetMode="External"/><Relationship Id="rId1" Type="http://schemas.openxmlformats.org/officeDocument/2006/relationships/hyperlink" Target="http://dx.doi.org/10.3389/fevo.2024.147923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203"/>
  <sheetViews>
    <sheetView tabSelected="1" zoomScale="85" zoomScaleNormal="85" workbookViewId="0">
      <pane xSplit="6" topLeftCell="N1" activePane="topRight" state="frozen"/>
      <selection/>
      <selection pane="topRight" activeCell="W111" sqref="W$1:W$1048576"/>
    </sheetView>
  </sheetViews>
  <sheetFormatPr defaultColWidth="9" defaultRowHeight="14.25"/>
  <cols>
    <col min="2" max="2" width="105.875" customWidth="1"/>
    <col min="3" max="3" width="10" customWidth="1"/>
    <col min="4" max="4" width="9.25" customWidth="1"/>
    <col min="7" max="7" width="43.5" customWidth="1"/>
    <col min="8" max="8" width="15.125" customWidth="1"/>
    <col min="9" max="14" width="20.375" customWidth="1"/>
    <col min="15" max="15" width="8.5" customWidth="1"/>
    <col min="16" max="16" width="20.375" customWidth="1"/>
    <col min="17" max="17" width="28" customWidth="1"/>
    <col min="18" max="19" width="21.25" customWidth="1"/>
    <col min="20" max="20" width="12.25" customWidth="1"/>
    <col min="21" max="21" width="14.75" customWidth="1"/>
    <col min="22" max="24" width="24.5" style="1" customWidth="1"/>
    <col min="25" max="26" width="7.625" style="1" customWidth="1"/>
    <col min="27" max="29" width="12.25" style="13" customWidth="1"/>
    <col min="30" max="30" width="12.75" style="3" customWidth="1"/>
    <col min="31" max="31" width="9.625" style="3" customWidth="1"/>
    <col min="32" max="32" width="11.625" style="3" customWidth="1"/>
    <col min="33" max="33" width="15.25" style="4" customWidth="1"/>
    <col min="34" max="34" width="9.625" style="3" customWidth="1"/>
    <col min="35" max="35" width="13" style="3" customWidth="1"/>
    <col min="36" max="36" width="9.625" style="5" customWidth="1"/>
    <col min="37" max="42" width="12.25" style="14" customWidth="1"/>
    <col min="43" max="43" width="14.125" style="7" customWidth="1"/>
    <col min="44" max="44" width="13.125" style="15" customWidth="1"/>
    <col min="45" max="45" width="12.25" style="15" customWidth="1"/>
    <col min="46" max="55" width="14.125" style="7" customWidth="1"/>
    <col min="56" max="56" width="14.125" style="29" customWidth="1"/>
    <col min="57" max="57" width="14.125" style="8" customWidth="1"/>
    <col min="58" max="58" width="20.25" style="1" customWidth="1"/>
    <col min="59" max="59" width="14.125" style="7" customWidth="1"/>
    <col min="60" max="61" width="14.375" style="9" customWidth="1"/>
    <col min="62" max="62" width="24.5" style="10" customWidth="1"/>
    <col min="63" max="63" width="24.5" style="11" customWidth="1"/>
  </cols>
  <sheetData>
    <row r="1" ht="42.75" spans="1:6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1" t="s">
        <v>19</v>
      </c>
      <c r="U1" t="s">
        <v>20</v>
      </c>
      <c r="V1" s="1" t="s">
        <v>21</v>
      </c>
      <c r="W1" s="1" t="s">
        <v>22</v>
      </c>
      <c r="X1" s="1" t="s">
        <v>23</v>
      </c>
      <c r="Y1" s="1" t="s">
        <v>24</v>
      </c>
      <c r="Z1" s="1" t="s">
        <v>25</v>
      </c>
      <c r="AA1" s="2" t="s">
        <v>26</v>
      </c>
      <c r="AB1" s="2" t="s">
        <v>27</v>
      </c>
      <c r="AC1" s="2" t="s">
        <v>28</v>
      </c>
      <c r="AD1" s="3" t="s">
        <v>29</v>
      </c>
      <c r="AE1" s="3" t="s">
        <v>30</v>
      </c>
      <c r="AF1" s="3" t="s">
        <v>31</v>
      </c>
      <c r="AG1" s="4" t="s">
        <v>32</v>
      </c>
      <c r="AH1" s="4" t="s">
        <v>33</v>
      </c>
      <c r="AI1" s="4" t="s">
        <v>34</v>
      </c>
      <c r="AJ1" s="5" t="s">
        <v>35</v>
      </c>
      <c r="AK1" s="6" t="s">
        <v>36</v>
      </c>
      <c r="AL1" s="6" t="s">
        <v>37</v>
      </c>
      <c r="AM1" s="6" t="s">
        <v>38</v>
      </c>
      <c r="AN1" s="6" t="s">
        <v>39</v>
      </c>
      <c r="AO1" s="6" t="s">
        <v>40</v>
      </c>
      <c r="AP1" s="6" t="s">
        <v>41</v>
      </c>
      <c r="AQ1" s="7" t="s">
        <v>42</v>
      </c>
      <c r="AR1" s="7" t="s">
        <v>43</v>
      </c>
      <c r="AS1" s="7" t="s">
        <v>44</v>
      </c>
      <c r="AT1" s="7" t="s">
        <v>45</v>
      </c>
      <c r="AU1" s="7" t="s">
        <v>46</v>
      </c>
      <c r="AV1" s="7" t="s">
        <v>47</v>
      </c>
      <c r="AW1" s="7" t="s">
        <v>48</v>
      </c>
      <c r="AX1" s="7" t="s">
        <v>49</v>
      </c>
      <c r="AY1" s="7" t="s">
        <v>50</v>
      </c>
      <c r="AZ1" s="7" t="s">
        <v>51</v>
      </c>
      <c r="BA1" s="7" t="s">
        <v>52</v>
      </c>
      <c r="BB1" s="7" t="s">
        <v>53</v>
      </c>
      <c r="BC1" s="7" t="s">
        <v>54</v>
      </c>
      <c r="BD1" s="29" t="s">
        <v>55</v>
      </c>
      <c r="BE1" s="8" t="s">
        <v>56</v>
      </c>
      <c r="BF1" s="1" t="s">
        <v>57</v>
      </c>
      <c r="BG1" s="7" t="s">
        <v>58</v>
      </c>
      <c r="BH1" s="9" t="s">
        <v>59</v>
      </c>
      <c r="BI1" s="9" t="s">
        <v>60</v>
      </c>
      <c r="BJ1" s="10" t="s">
        <v>61</v>
      </c>
      <c r="BK1" s="11" t="s">
        <v>62</v>
      </c>
    </row>
    <row r="2" ht="28.5" spans="1:63">
      <c r="A2">
        <v>1</v>
      </c>
      <c r="B2" t="s">
        <v>63</v>
      </c>
      <c r="C2" t="s">
        <v>64</v>
      </c>
      <c r="D2" t="s">
        <v>65</v>
      </c>
      <c r="E2" t="s">
        <v>66</v>
      </c>
      <c r="F2">
        <v>2025</v>
      </c>
      <c r="G2" s="12" t="s">
        <v>67</v>
      </c>
      <c r="H2" t="s">
        <v>68</v>
      </c>
      <c r="I2">
        <v>41.8025</v>
      </c>
      <c r="J2">
        <v>123.4281</v>
      </c>
      <c r="K2">
        <v>21</v>
      </c>
      <c r="L2" t="s">
        <v>69</v>
      </c>
      <c r="M2" t="str">
        <f>"Group "&amp;LEFT(L2,1)</f>
        <v>Group D</v>
      </c>
      <c r="N2" t="s">
        <v>70</v>
      </c>
      <c r="O2" t="s">
        <v>71</v>
      </c>
      <c r="P2" t="s">
        <v>72</v>
      </c>
      <c r="Q2" t="s">
        <v>72</v>
      </c>
      <c r="R2" t="s">
        <v>72</v>
      </c>
      <c r="S2" t="s">
        <v>73</v>
      </c>
      <c r="T2" t="s">
        <v>74</v>
      </c>
      <c r="U2" t="s">
        <v>75</v>
      </c>
      <c r="V2" s="1" t="s">
        <v>76</v>
      </c>
      <c r="W2" s="1" t="s">
        <v>77</v>
      </c>
      <c r="X2" s="1" t="s">
        <v>76</v>
      </c>
      <c r="Y2" s="1" t="s">
        <v>76</v>
      </c>
      <c r="Z2" s="1" t="s">
        <v>78</v>
      </c>
      <c r="AA2" s="13">
        <v>21.5</v>
      </c>
      <c r="AB2" s="13" t="s">
        <v>79</v>
      </c>
      <c r="AC2" s="13" t="s">
        <v>80</v>
      </c>
      <c r="AD2" s="3">
        <v>7.923</v>
      </c>
      <c r="AE2" s="3">
        <v>14</v>
      </c>
      <c r="AF2" s="3">
        <v>3.099</v>
      </c>
      <c r="AG2" s="4">
        <v>7.364</v>
      </c>
      <c r="AH2" s="3">
        <v>10</v>
      </c>
      <c r="AI2" s="3">
        <v>3.916</v>
      </c>
      <c r="AJ2" s="5" t="s">
        <v>81</v>
      </c>
      <c r="AK2" s="14">
        <v>1.707</v>
      </c>
      <c r="AL2" s="14">
        <v>14</v>
      </c>
      <c r="AM2" s="14">
        <v>0.218</v>
      </c>
      <c r="AN2" s="14">
        <v>1.214</v>
      </c>
      <c r="AO2" s="14">
        <v>10</v>
      </c>
      <c r="AP2" s="14">
        <v>0.806</v>
      </c>
      <c r="BF2" s="16"/>
      <c r="BH2" s="9" t="s">
        <v>82</v>
      </c>
      <c r="BI2" s="9" t="s">
        <v>82</v>
      </c>
      <c r="BJ2" s="10" t="str">
        <f>IF(ABS(I2)&lt;23.5,"tropic",IF(ABS(I2)&lt;40,"subtropic",IF(ABS(I2)&lt;60,"temperate","arctic")))</f>
        <v>temperate</v>
      </c>
      <c r="BK2" s="11" t="s">
        <v>83</v>
      </c>
    </row>
    <row r="3" ht="28.5" spans="1:63">
      <c r="A3">
        <v>2</v>
      </c>
      <c r="B3" t="s">
        <v>84</v>
      </c>
      <c r="C3" t="s">
        <v>85</v>
      </c>
      <c r="D3" t="s">
        <v>86</v>
      </c>
      <c r="E3" t="s">
        <v>87</v>
      </c>
      <c r="F3">
        <v>2025</v>
      </c>
      <c r="G3" s="12" t="s">
        <v>88</v>
      </c>
      <c r="H3" t="s">
        <v>68</v>
      </c>
      <c r="I3">
        <v>29.5657</v>
      </c>
      <c r="J3">
        <v>106.5512</v>
      </c>
      <c r="K3">
        <v>14</v>
      </c>
      <c r="L3" t="s">
        <v>89</v>
      </c>
      <c r="M3" t="str">
        <f>"Group "&amp;LEFT(L3,1)</f>
        <v>Group C</v>
      </c>
      <c r="N3" t="s">
        <v>70</v>
      </c>
      <c r="O3" t="s">
        <v>71</v>
      </c>
      <c r="P3" t="s">
        <v>72</v>
      </c>
      <c r="Q3" t="s">
        <v>72</v>
      </c>
      <c r="R3" t="s">
        <v>72</v>
      </c>
      <c r="S3" t="s">
        <v>73</v>
      </c>
      <c r="T3" t="s">
        <v>74</v>
      </c>
      <c r="U3" t="s">
        <v>90</v>
      </c>
      <c r="V3" s="1" t="s">
        <v>91</v>
      </c>
      <c r="X3" s="1" t="s">
        <v>92</v>
      </c>
      <c r="Y3" s="1" t="s">
        <v>92</v>
      </c>
      <c r="Z3" s="1" t="s">
        <v>92</v>
      </c>
      <c r="AA3" s="13">
        <v>223.8</v>
      </c>
      <c r="AB3" s="13" t="s">
        <v>93</v>
      </c>
      <c r="AC3" s="13" t="s">
        <v>94</v>
      </c>
      <c r="AD3" s="4"/>
      <c r="AK3" s="6"/>
      <c r="AL3" s="6"/>
      <c r="AM3" s="6"/>
      <c r="AN3" s="6"/>
      <c r="AO3" s="6"/>
      <c r="AP3" s="6"/>
      <c r="AQ3" s="7">
        <v>1</v>
      </c>
      <c r="AR3" s="15" t="s">
        <v>95</v>
      </c>
      <c r="AS3" s="15" t="s">
        <v>96</v>
      </c>
      <c r="AT3" s="7" t="s">
        <v>97</v>
      </c>
      <c r="AU3" s="7">
        <v>0.32074</v>
      </c>
      <c r="AV3" s="7">
        <v>15</v>
      </c>
      <c r="AW3" s="7">
        <v>0.182152</v>
      </c>
      <c r="AX3" s="7">
        <v>0.255494</v>
      </c>
      <c r="AY3" s="7">
        <v>55</v>
      </c>
      <c r="AZ3" s="7">
        <v>0.187314</v>
      </c>
      <c r="BA3" s="7">
        <v>0.270147</v>
      </c>
      <c r="BB3" s="7">
        <v>66</v>
      </c>
      <c r="BC3" s="7">
        <v>0.194502</v>
      </c>
      <c r="BD3" s="29" t="s">
        <v>98</v>
      </c>
      <c r="BE3" s="8" t="s">
        <v>99</v>
      </c>
      <c r="BF3" s="1" t="s">
        <v>100</v>
      </c>
      <c r="BG3" s="7" t="s">
        <v>101</v>
      </c>
      <c r="BH3" s="9" t="s">
        <v>82</v>
      </c>
      <c r="BI3" s="9" t="s">
        <v>82</v>
      </c>
      <c r="BJ3" s="10" t="str">
        <f>IF(ABS(I3)&lt;23.5,"tropic",IF(ABS(I3)&lt;40,"subtropic",IF(ABS(I3)&lt;60,"temperate","arctic")))</f>
        <v>subtropic</v>
      </c>
      <c r="BK3" s="11" t="s">
        <v>83</v>
      </c>
    </row>
    <row r="4" ht="28.5" spans="1:63">
      <c r="A4">
        <v>3</v>
      </c>
      <c r="B4" t="s">
        <v>84</v>
      </c>
      <c r="C4" t="s">
        <v>85</v>
      </c>
      <c r="D4" t="s">
        <v>86</v>
      </c>
      <c r="E4" t="s">
        <v>87</v>
      </c>
      <c r="F4">
        <v>2025</v>
      </c>
      <c r="G4" s="12" t="s">
        <v>88</v>
      </c>
      <c r="H4" t="s">
        <v>68</v>
      </c>
      <c r="I4">
        <v>29.5657</v>
      </c>
      <c r="J4">
        <v>106.5512</v>
      </c>
      <c r="K4">
        <v>14</v>
      </c>
      <c r="L4" t="s">
        <v>89</v>
      </c>
      <c r="M4" t="str">
        <f t="shared" ref="M4:M35" si="0">"Group "&amp;LEFT(L4,1)</f>
        <v>Group C</v>
      </c>
      <c r="N4" t="s">
        <v>70</v>
      </c>
      <c r="O4" t="s">
        <v>71</v>
      </c>
      <c r="P4" t="s">
        <v>72</v>
      </c>
      <c r="Q4" t="s">
        <v>72</v>
      </c>
      <c r="R4" t="s">
        <v>72</v>
      </c>
      <c r="S4" t="s">
        <v>73</v>
      </c>
      <c r="T4" t="s">
        <v>74</v>
      </c>
      <c r="U4" t="s">
        <v>90</v>
      </c>
      <c r="V4" s="1" t="s">
        <v>91</v>
      </c>
      <c r="X4" s="1" t="s">
        <v>92</v>
      </c>
      <c r="Y4" s="1" t="s">
        <v>92</v>
      </c>
      <c r="Z4" s="1" t="s">
        <v>92</v>
      </c>
      <c r="AA4" s="13">
        <v>223.8</v>
      </c>
      <c r="AB4" s="13" t="s">
        <v>93</v>
      </c>
      <c r="AC4" s="13" t="s">
        <v>94</v>
      </c>
      <c r="AQ4" s="7">
        <v>54</v>
      </c>
      <c r="AR4" s="15" t="s">
        <v>95</v>
      </c>
      <c r="AS4" s="15" t="s">
        <v>96</v>
      </c>
      <c r="AT4" s="7" t="s">
        <v>97</v>
      </c>
      <c r="AU4" s="7">
        <v>0.033729</v>
      </c>
      <c r="AV4" s="7">
        <v>15</v>
      </c>
      <c r="AW4" s="7">
        <v>0.012607</v>
      </c>
      <c r="AX4" s="7">
        <v>0.096988</v>
      </c>
      <c r="AY4" s="7">
        <v>66</v>
      </c>
      <c r="AZ4" s="7">
        <v>0.049045</v>
      </c>
      <c r="BA4" s="7">
        <v>0.087652</v>
      </c>
      <c r="BB4" s="7">
        <v>72</v>
      </c>
      <c r="BC4" s="7">
        <v>0.030662</v>
      </c>
      <c r="BD4" s="29" t="s">
        <v>98</v>
      </c>
      <c r="BE4" s="8" t="s">
        <v>102</v>
      </c>
      <c r="BF4" s="1" t="s">
        <v>100</v>
      </c>
      <c r="BG4" s="7" t="s">
        <v>101</v>
      </c>
      <c r="BH4" s="9" t="s">
        <v>82</v>
      </c>
      <c r="BI4" s="9" t="s">
        <v>82</v>
      </c>
      <c r="BJ4" s="10" t="s">
        <v>103</v>
      </c>
      <c r="BK4" s="11" t="s">
        <v>83</v>
      </c>
    </row>
    <row r="5" spans="1:63">
      <c r="A5">
        <v>4</v>
      </c>
      <c r="B5" t="s">
        <v>84</v>
      </c>
      <c r="C5" t="s">
        <v>85</v>
      </c>
      <c r="D5" t="s">
        <v>86</v>
      </c>
      <c r="E5" t="s">
        <v>87</v>
      </c>
      <c r="F5">
        <v>2025</v>
      </c>
      <c r="G5" s="12" t="s">
        <v>88</v>
      </c>
      <c r="H5" t="s">
        <v>68</v>
      </c>
      <c r="I5">
        <v>29.5657</v>
      </c>
      <c r="J5">
        <v>106.5512</v>
      </c>
      <c r="K5">
        <v>14</v>
      </c>
      <c r="L5" t="s">
        <v>89</v>
      </c>
      <c r="M5" t="str">
        <f t="shared" si="0"/>
        <v>Group C</v>
      </c>
      <c r="N5" t="s">
        <v>70</v>
      </c>
      <c r="O5" t="s">
        <v>71</v>
      </c>
      <c r="P5" t="s">
        <v>72</v>
      </c>
      <c r="Q5" t="s">
        <v>72</v>
      </c>
      <c r="R5" t="s">
        <v>72</v>
      </c>
      <c r="S5" t="s">
        <v>73</v>
      </c>
      <c r="T5" t="s">
        <v>74</v>
      </c>
      <c r="U5" t="s">
        <v>90</v>
      </c>
      <c r="V5" s="1" t="s">
        <v>91</v>
      </c>
      <c r="X5" s="1" t="s">
        <v>92</v>
      </c>
      <c r="Y5" s="1" t="s">
        <v>92</v>
      </c>
      <c r="Z5" s="1" t="s">
        <v>92</v>
      </c>
      <c r="AA5" s="13">
        <v>223.8</v>
      </c>
      <c r="AB5" s="13" t="s">
        <v>93</v>
      </c>
      <c r="AC5" s="13" t="s">
        <v>94</v>
      </c>
      <c r="AD5" s="4">
        <v>1048.356</v>
      </c>
      <c r="AE5" s="3">
        <v>12</v>
      </c>
      <c r="AF5" s="3">
        <v>128.3682</v>
      </c>
      <c r="AG5" s="4">
        <v>1138.945</v>
      </c>
      <c r="AH5" s="3">
        <v>6</v>
      </c>
      <c r="AI5" s="3">
        <v>118.3384</v>
      </c>
      <c r="AJ5" s="5" t="s">
        <v>81</v>
      </c>
      <c r="AK5" s="6">
        <v>4.679</v>
      </c>
      <c r="AL5" s="6">
        <v>12</v>
      </c>
      <c r="AM5" s="6">
        <v>0.649</v>
      </c>
      <c r="AN5" s="6">
        <v>4.657</v>
      </c>
      <c r="AO5" s="6">
        <v>6</v>
      </c>
      <c r="AP5" s="6">
        <v>1.436</v>
      </c>
      <c r="BE5" s="8" t="s">
        <v>99</v>
      </c>
      <c r="BF5" s="1" t="s">
        <v>104</v>
      </c>
      <c r="BH5" s="9" t="s">
        <v>82</v>
      </c>
      <c r="BI5" s="9" t="s">
        <v>82</v>
      </c>
      <c r="BJ5" s="10" t="str">
        <f>IF(ABS(I5)&lt;23.5,"tropic",IF(ABS(I5)&lt;40,"subtropic",IF(ABS(I5)&lt;60,"temperate","arctic")))</f>
        <v>subtropic</v>
      </c>
      <c r="BK5" s="11" t="s">
        <v>83</v>
      </c>
    </row>
    <row r="6" spans="1:63">
      <c r="A6">
        <v>5</v>
      </c>
      <c r="B6" t="s">
        <v>84</v>
      </c>
      <c r="C6" t="s">
        <v>85</v>
      </c>
      <c r="D6" t="s">
        <v>86</v>
      </c>
      <c r="E6" t="s">
        <v>87</v>
      </c>
      <c r="F6">
        <v>2025</v>
      </c>
      <c r="G6" s="12" t="s">
        <v>88</v>
      </c>
      <c r="H6" t="s">
        <v>68</v>
      </c>
      <c r="I6">
        <v>29.5657</v>
      </c>
      <c r="J6">
        <v>106.5512</v>
      </c>
      <c r="K6">
        <v>14</v>
      </c>
      <c r="L6" t="s">
        <v>89</v>
      </c>
      <c r="M6" t="str">
        <f t="shared" si="0"/>
        <v>Group C</v>
      </c>
      <c r="N6" t="s">
        <v>70</v>
      </c>
      <c r="O6" t="s">
        <v>71</v>
      </c>
      <c r="P6" t="s">
        <v>72</v>
      </c>
      <c r="Q6" t="s">
        <v>72</v>
      </c>
      <c r="R6" t="s">
        <v>72</v>
      </c>
      <c r="S6" t="s">
        <v>73</v>
      </c>
      <c r="T6" t="s">
        <v>74</v>
      </c>
      <c r="U6" t="s">
        <v>90</v>
      </c>
      <c r="V6" s="1" t="s">
        <v>91</v>
      </c>
      <c r="X6" s="1" t="s">
        <v>92</v>
      </c>
      <c r="Y6" s="1" t="s">
        <v>92</v>
      </c>
      <c r="Z6" s="1" t="s">
        <v>92</v>
      </c>
      <c r="AA6" s="13">
        <v>223.8</v>
      </c>
      <c r="AB6" s="13" t="s">
        <v>93</v>
      </c>
      <c r="AC6" s="13" t="s">
        <v>94</v>
      </c>
      <c r="AD6" s="3">
        <v>1045.515</v>
      </c>
      <c r="AE6" s="3">
        <v>12</v>
      </c>
      <c r="AF6" s="3">
        <v>106.163</v>
      </c>
      <c r="AG6" s="4">
        <v>1105.902</v>
      </c>
      <c r="AH6" s="3">
        <v>6</v>
      </c>
      <c r="AI6" s="3">
        <v>66.776</v>
      </c>
      <c r="AJ6" s="5" t="s">
        <v>81</v>
      </c>
      <c r="AK6" s="14">
        <v>5.031</v>
      </c>
      <c r="AL6" s="14">
        <v>12</v>
      </c>
      <c r="AM6" s="14">
        <v>0.154</v>
      </c>
      <c r="AN6" s="14">
        <v>5.184</v>
      </c>
      <c r="AO6" s="14">
        <v>6</v>
      </c>
      <c r="AP6" s="14">
        <v>0.368</v>
      </c>
      <c r="BE6" s="8" t="s">
        <v>102</v>
      </c>
      <c r="BF6" s="1" t="s">
        <v>104</v>
      </c>
      <c r="BH6" s="9" t="s">
        <v>82</v>
      </c>
      <c r="BI6" s="9" t="s">
        <v>82</v>
      </c>
      <c r="BJ6" s="10" t="s">
        <v>103</v>
      </c>
      <c r="BK6" s="11" t="s">
        <v>83</v>
      </c>
    </row>
    <row r="7" spans="1:63">
      <c r="A7">
        <v>6</v>
      </c>
      <c r="B7" t="s">
        <v>84</v>
      </c>
      <c r="C7" t="s">
        <v>85</v>
      </c>
      <c r="D7" t="s">
        <v>86</v>
      </c>
      <c r="E7" t="s">
        <v>87</v>
      </c>
      <c r="F7">
        <v>2025</v>
      </c>
      <c r="G7" s="12" t="s">
        <v>88</v>
      </c>
      <c r="H7" t="s">
        <v>68</v>
      </c>
      <c r="I7">
        <v>29.5657</v>
      </c>
      <c r="J7">
        <v>106.5512</v>
      </c>
      <c r="K7">
        <v>14</v>
      </c>
      <c r="L7" t="s">
        <v>89</v>
      </c>
      <c r="M7" t="str">
        <f t="shared" si="0"/>
        <v>Group C</v>
      </c>
      <c r="N7" t="s">
        <v>70</v>
      </c>
      <c r="O7" t="s">
        <v>71</v>
      </c>
      <c r="P7" t="s">
        <v>72</v>
      </c>
      <c r="Q7" t="s">
        <v>72</v>
      </c>
      <c r="R7" t="s">
        <v>72</v>
      </c>
      <c r="S7" t="s">
        <v>73</v>
      </c>
      <c r="T7" t="s">
        <v>74</v>
      </c>
      <c r="U7" t="s">
        <v>90</v>
      </c>
      <c r="V7" s="1" t="s">
        <v>91</v>
      </c>
      <c r="X7" s="1" t="s">
        <v>92</v>
      </c>
      <c r="Y7" s="1" t="s">
        <v>92</v>
      </c>
      <c r="Z7" s="1" t="s">
        <v>92</v>
      </c>
      <c r="AA7" s="13">
        <v>223.8</v>
      </c>
      <c r="AB7" s="13" t="s">
        <v>93</v>
      </c>
      <c r="AC7" s="13" t="s">
        <v>94</v>
      </c>
      <c r="AD7" s="4">
        <v>362.437</v>
      </c>
      <c r="AE7" s="3">
        <v>12</v>
      </c>
      <c r="AF7" s="3">
        <v>57.323</v>
      </c>
      <c r="AG7" s="4">
        <v>409.96</v>
      </c>
      <c r="AH7" s="3">
        <v>6</v>
      </c>
      <c r="AI7" s="3">
        <v>123.421</v>
      </c>
      <c r="AJ7" s="5" t="s">
        <v>81</v>
      </c>
      <c r="AK7" s="6">
        <v>5.331</v>
      </c>
      <c r="AL7" s="6">
        <v>12</v>
      </c>
      <c r="AM7" s="6">
        <v>0.237</v>
      </c>
      <c r="AN7" s="6">
        <v>5.42</v>
      </c>
      <c r="AO7" s="6">
        <v>6</v>
      </c>
      <c r="AP7" s="6">
        <v>0.108</v>
      </c>
      <c r="BE7" s="8" t="s">
        <v>99</v>
      </c>
      <c r="BF7" s="1" t="s">
        <v>105</v>
      </c>
      <c r="BH7" s="9" t="s">
        <v>82</v>
      </c>
      <c r="BI7" s="9" t="s">
        <v>82</v>
      </c>
      <c r="BJ7" s="10" t="str">
        <f>IF(ABS(I7)&lt;23.5,"tropic",IF(ABS(I7)&lt;40,"subtropic",IF(ABS(I7)&lt;60,"temperate","arctic")))</f>
        <v>subtropic</v>
      </c>
      <c r="BK7" s="11" t="s">
        <v>83</v>
      </c>
    </row>
    <row r="8" spans="1:63">
      <c r="A8">
        <v>7</v>
      </c>
      <c r="B8" t="s">
        <v>84</v>
      </c>
      <c r="C8" t="s">
        <v>85</v>
      </c>
      <c r="D8" t="s">
        <v>86</v>
      </c>
      <c r="E8" t="s">
        <v>87</v>
      </c>
      <c r="F8">
        <v>2025</v>
      </c>
      <c r="G8" s="12" t="s">
        <v>88</v>
      </c>
      <c r="H8" t="s">
        <v>68</v>
      </c>
      <c r="I8">
        <v>29.5657</v>
      </c>
      <c r="J8">
        <v>106.5512</v>
      </c>
      <c r="K8">
        <v>14</v>
      </c>
      <c r="L8" t="s">
        <v>89</v>
      </c>
      <c r="M8" t="str">
        <f t="shared" si="0"/>
        <v>Group C</v>
      </c>
      <c r="N8" t="s">
        <v>70</v>
      </c>
      <c r="O8" t="s">
        <v>71</v>
      </c>
      <c r="P8" t="s">
        <v>72</v>
      </c>
      <c r="Q8" t="s">
        <v>72</v>
      </c>
      <c r="R8" t="s">
        <v>72</v>
      </c>
      <c r="S8" t="s">
        <v>73</v>
      </c>
      <c r="T8" t="s">
        <v>74</v>
      </c>
      <c r="U8" t="s">
        <v>90</v>
      </c>
      <c r="V8" s="1" t="s">
        <v>91</v>
      </c>
      <c r="X8" s="1" t="s">
        <v>92</v>
      </c>
      <c r="Y8" s="1" t="s">
        <v>92</v>
      </c>
      <c r="Z8" s="1" t="s">
        <v>92</v>
      </c>
      <c r="AA8" s="13">
        <v>223.8</v>
      </c>
      <c r="AB8" s="13" t="s">
        <v>93</v>
      </c>
      <c r="AC8" s="13" t="s">
        <v>94</v>
      </c>
      <c r="AD8" s="3">
        <v>549.33</v>
      </c>
      <c r="AE8" s="3">
        <v>12</v>
      </c>
      <c r="AF8" s="3">
        <v>56.656</v>
      </c>
      <c r="AG8" s="4">
        <v>597.174</v>
      </c>
      <c r="AH8" s="3">
        <v>6</v>
      </c>
      <c r="AI8" s="3">
        <v>25.982</v>
      </c>
      <c r="AJ8" s="5" t="s">
        <v>81</v>
      </c>
      <c r="AK8" s="14">
        <v>5.857</v>
      </c>
      <c r="AL8" s="14">
        <v>12</v>
      </c>
      <c r="AM8" s="14">
        <v>0.148</v>
      </c>
      <c r="AN8" s="14">
        <v>5.928</v>
      </c>
      <c r="AO8" s="14">
        <v>6</v>
      </c>
      <c r="AP8" s="14">
        <v>0.054</v>
      </c>
      <c r="BE8" s="8" t="s">
        <v>102</v>
      </c>
      <c r="BF8" s="1" t="s">
        <v>105</v>
      </c>
      <c r="BH8" s="9" t="s">
        <v>82</v>
      </c>
      <c r="BI8" s="9" t="s">
        <v>82</v>
      </c>
      <c r="BJ8" s="10" t="s">
        <v>103</v>
      </c>
      <c r="BK8" s="11" t="s">
        <v>83</v>
      </c>
    </row>
    <row r="9" ht="28.5" spans="1:63">
      <c r="A9">
        <v>8</v>
      </c>
      <c r="B9" t="s">
        <v>106</v>
      </c>
      <c r="C9" t="s">
        <v>107</v>
      </c>
      <c r="D9" t="s">
        <v>108</v>
      </c>
      <c r="E9" t="s">
        <v>109</v>
      </c>
      <c r="F9">
        <v>2025</v>
      </c>
      <c r="G9" s="12" t="s">
        <v>110</v>
      </c>
      <c r="H9" t="s">
        <v>68</v>
      </c>
      <c r="I9">
        <v>22.3193</v>
      </c>
      <c r="J9">
        <v>114.1694</v>
      </c>
      <c r="K9">
        <v>11</v>
      </c>
      <c r="L9" t="s">
        <v>111</v>
      </c>
      <c r="M9" t="str">
        <f t="shared" si="0"/>
        <v>Group C</v>
      </c>
      <c r="N9" t="s">
        <v>70</v>
      </c>
      <c r="O9" t="s">
        <v>71</v>
      </c>
      <c r="P9" t="s">
        <v>112</v>
      </c>
      <c r="Q9" t="s">
        <v>113</v>
      </c>
      <c r="R9" t="s">
        <v>114</v>
      </c>
      <c r="S9" t="s">
        <v>115</v>
      </c>
      <c r="T9" t="s">
        <v>116</v>
      </c>
      <c r="U9" t="s">
        <v>75</v>
      </c>
      <c r="V9" s="1" t="s">
        <v>117</v>
      </c>
      <c r="X9" s="1" t="s">
        <v>117</v>
      </c>
      <c r="Y9" s="1" t="s">
        <v>117</v>
      </c>
      <c r="Z9" s="1" t="s">
        <v>118</v>
      </c>
      <c r="AA9" s="13">
        <v>55</v>
      </c>
      <c r="AB9" s="13" t="s">
        <v>119</v>
      </c>
      <c r="AC9" s="13" t="s">
        <v>80</v>
      </c>
      <c r="AD9" s="3">
        <v>47.306</v>
      </c>
      <c r="AE9" s="3">
        <v>5</v>
      </c>
      <c r="AF9" s="3">
        <v>12.12</v>
      </c>
      <c r="AG9" s="4">
        <v>40.582</v>
      </c>
      <c r="AH9" s="3">
        <v>5</v>
      </c>
      <c r="AI9" s="3">
        <v>7.065</v>
      </c>
      <c r="AQ9" s="7">
        <v>2</v>
      </c>
      <c r="AR9" s="15" t="s">
        <v>120</v>
      </c>
      <c r="AS9" s="15" t="s">
        <v>121</v>
      </c>
      <c r="AT9" s="7" t="s">
        <v>122</v>
      </c>
      <c r="AU9" s="7">
        <v>0.996204</v>
      </c>
      <c r="AV9" s="7">
        <v>10</v>
      </c>
      <c r="AW9" s="7">
        <v>0.398058</v>
      </c>
      <c r="AX9" s="7">
        <v>0.316146</v>
      </c>
      <c r="AY9" s="7">
        <v>10</v>
      </c>
      <c r="AZ9" s="7">
        <v>0.145229</v>
      </c>
      <c r="BA9" s="7">
        <v>1.391291</v>
      </c>
      <c r="BB9" s="7">
        <v>25</v>
      </c>
      <c r="BC9" s="7">
        <v>0.546727</v>
      </c>
      <c r="BD9" s="29" t="s">
        <v>98</v>
      </c>
      <c r="BE9" s="8" t="s">
        <v>123</v>
      </c>
      <c r="BF9" s="1" t="s">
        <v>124</v>
      </c>
      <c r="BG9" s="7" t="s">
        <v>101</v>
      </c>
      <c r="BH9" s="9" t="s">
        <v>125</v>
      </c>
      <c r="BI9" s="9" t="s">
        <v>126</v>
      </c>
      <c r="BJ9" s="10" t="str">
        <f t="shared" ref="BJ9:BJ22" si="1">IF(ABS(I9)&lt;23.5,"tropic",IF(ABS(I9)&lt;40,"subtropic",IF(ABS(I9)&lt;60,"temperate","arctic")))</f>
        <v>tropic</v>
      </c>
      <c r="BK9" s="11" t="s">
        <v>127</v>
      </c>
    </row>
    <row r="10" ht="28.5" spans="1:63">
      <c r="A10">
        <v>9</v>
      </c>
      <c r="B10" t="s">
        <v>106</v>
      </c>
      <c r="C10" t="s">
        <v>107</v>
      </c>
      <c r="D10" t="s">
        <v>108</v>
      </c>
      <c r="E10" t="s">
        <v>109</v>
      </c>
      <c r="F10">
        <v>2025</v>
      </c>
      <c r="G10" s="12" t="s">
        <v>110</v>
      </c>
      <c r="H10" t="s">
        <v>68</v>
      </c>
      <c r="I10">
        <v>22.3193</v>
      </c>
      <c r="J10">
        <v>114.1694</v>
      </c>
      <c r="K10">
        <v>11</v>
      </c>
      <c r="L10" t="s">
        <v>111</v>
      </c>
      <c r="M10" t="str">
        <f t="shared" si="0"/>
        <v>Group C</v>
      </c>
      <c r="N10" t="s">
        <v>70</v>
      </c>
      <c r="O10" t="s">
        <v>71</v>
      </c>
      <c r="P10" t="s">
        <v>112</v>
      </c>
      <c r="Q10" t="s">
        <v>113</v>
      </c>
      <c r="R10" t="s">
        <v>114</v>
      </c>
      <c r="S10" t="s">
        <v>115</v>
      </c>
      <c r="T10" t="s">
        <v>116</v>
      </c>
      <c r="U10" t="s">
        <v>75</v>
      </c>
      <c r="V10" s="1" t="s">
        <v>117</v>
      </c>
      <c r="X10" s="1" t="s">
        <v>117</v>
      </c>
      <c r="Y10" s="1" t="s">
        <v>117</v>
      </c>
      <c r="Z10" s="1" t="s">
        <v>118</v>
      </c>
      <c r="AA10" s="13">
        <v>55</v>
      </c>
      <c r="AB10" s="13" t="s">
        <v>119</v>
      </c>
      <c r="AC10" s="13" t="s">
        <v>80</v>
      </c>
      <c r="AD10" s="3">
        <v>4.063</v>
      </c>
      <c r="AE10" s="3">
        <v>5</v>
      </c>
      <c r="AF10" s="3">
        <v>2.01</v>
      </c>
      <c r="AG10" s="4">
        <v>22.666</v>
      </c>
      <c r="AH10" s="3">
        <v>5</v>
      </c>
      <c r="AI10" s="3">
        <v>1.218</v>
      </c>
      <c r="BE10" s="8" t="s">
        <v>123</v>
      </c>
      <c r="BF10" s="1" t="s">
        <v>128</v>
      </c>
      <c r="BH10" s="9" t="s">
        <v>125</v>
      </c>
      <c r="BI10" s="9" t="s">
        <v>126</v>
      </c>
      <c r="BJ10" s="10" t="str">
        <f t="shared" si="1"/>
        <v>tropic</v>
      </c>
      <c r="BK10" s="11" t="s">
        <v>127</v>
      </c>
    </row>
    <row r="11" ht="28.5" spans="1:63">
      <c r="A11">
        <v>10</v>
      </c>
      <c r="B11" t="s">
        <v>106</v>
      </c>
      <c r="C11" t="s">
        <v>107</v>
      </c>
      <c r="D11" t="s">
        <v>108</v>
      </c>
      <c r="E11" t="s">
        <v>109</v>
      </c>
      <c r="F11">
        <v>2025</v>
      </c>
      <c r="G11" s="12" t="s">
        <v>110</v>
      </c>
      <c r="H11" t="s">
        <v>68</v>
      </c>
      <c r="I11">
        <v>22.3193</v>
      </c>
      <c r="J11">
        <v>114.1694</v>
      </c>
      <c r="K11">
        <v>11</v>
      </c>
      <c r="L11" t="s">
        <v>111</v>
      </c>
      <c r="M11" t="str">
        <f t="shared" si="0"/>
        <v>Group C</v>
      </c>
      <c r="N11" t="s">
        <v>70</v>
      </c>
      <c r="O11" t="s">
        <v>71</v>
      </c>
      <c r="P11" t="s">
        <v>112</v>
      </c>
      <c r="Q11" t="s">
        <v>113</v>
      </c>
      <c r="R11" t="s">
        <v>114</v>
      </c>
      <c r="S11" t="s">
        <v>115</v>
      </c>
      <c r="T11" t="s">
        <v>116</v>
      </c>
      <c r="U11" t="s">
        <v>75</v>
      </c>
      <c r="V11" s="1" t="s">
        <v>117</v>
      </c>
      <c r="X11" s="1" t="s">
        <v>117</v>
      </c>
      <c r="Y11" s="1" t="s">
        <v>117</v>
      </c>
      <c r="Z11" s="1" t="s">
        <v>118</v>
      </c>
      <c r="AA11" s="13">
        <v>55</v>
      </c>
      <c r="AB11" s="13" t="s">
        <v>119</v>
      </c>
      <c r="AC11" s="13" t="s">
        <v>80</v>
      </c>
      <c r="AD11" s="3">
        <v>54.608</v>
      </c>
      <c r="AE11" s="3">
        <v>5</v>
      </c>
      <c r="AF11" s="3">
        <v>3.052</v>
      </c>
      <c r="AG11" s="4">
        <v>54.218</v>
      </c>
      <c r="AH11" s="3">
        <v>5</v>
      </c>
      <c r="AI11" s="3">
        <v>6.104</v>
      </c>
      <c r="AQ11" s="7">
        <v>53</v>
      </c>
      <c r="AR11" s="15" t="s">
        <v>120</v>
      </c>
      <c r="AS11" s="15" t="s">
        <v>121</v>
      </c>
      <c r="AT11" s="7" t="s">
        <v>122</v>
      </c>
      <c r="AU11" s="7">
        <v>0.846866</v>
      </c>
      <c r="AV11" s="7">
        <v>10</v>
      </c>
      <c r="AW11" s="7">
        <v>0.414948</v>
      </c>
      <c r="AX11" s="7">
        <v>0.81127</v>
      </c>
      <c r="AY11" s="7">
        <v>10</v>
      </c>
      <c r="AZ11" s="7">
        <v>0.265729</v>
      </c>
      <c r="BA11" s="7">
        <v>1.140965</v>
      </c>
      <c r="BB11" s="7">
        <v>25</v>
      </c>
      <c r="BC11" s="7">
        <v>0.496721</v>
      </c>
      <c r="BD11" s="29" t="s">
        <v>98</v>
      </c>
      <c r="BE11" s="8" t="s">
        <v>129</v>
      </c>
      <c r="BF11" t="s">
        <v>124</v>
      </c>
      <c r="BG11" s="7" t="s">
        <v>101</v>
      </c>
      <c r="BH11" s="9" t="s">
        <v>125</v>
      </c>
      <c r="BI11" s="9" t="s">
        <v>126</v>
      </c>
      <c r="BJ11" s="10" t="str">
        <f t="shared" si="1"/>
        <v>tropic</v>
      </c>
      <c r="BK11" s="11" t="s">
        <v>127</v>
      </c>
    </row>
    <row r="12" ht="28.5" spans="1:63">
      <c r="A12">
        <v>11</v>
      </c>
      <c r="B12" t="s">
        <v>106</v>
      </c>
      <c r="C12" t="s">
        <v>107</v>
      </c>
      <c r="D12" t="s">
        <v>108</v>
      </c>
      <c r="E12" t="s">
        <v>109</v>
      </c>
      <c r="F12">
        <v>2025</v>
      </c>
      <c r="G12" s="12" t="s">
        <v>110</v>
      </c>
      <c r="H12" t="s">
        <v>68</v>
      </c>
      <c r="I12">
        <v>22.3193</v>
      </c>
      <c r="J12">
        <v>114.1694</v>
      </c>
      <c r="K12">
        <v>11</v>
      </c>
      <c r="L12" t="s">
        <v>111</v>
      </c>
      <c r="M12" t="str">
        <f t="shared" si="0"/>
        <v>Group C</v>
      </c>
      <c r="N12" t="s">
        <v>70</v>
      </c>
      <c r="O12" t="s">
        <v>71</v>
      </c>
      <c r="P12" t="s">
        <v>112</v>
      </c>
      <c r="Q12" t="s">
        <v>113</v>
      </c>
      <c r="R12" t="s">
        <v>114</v>
      </c>
      <c r="S12" t="s">
        <v>115</v>
      </c>
      <c r="T12" t="s">
        <v>116</v>
      </c>
      <c r="U12" t="s">
        <v>75</v>
      </c>
      <c r="V12" s="1" t="s">
        <v>117</v>
      </c>
      <c r="X12" s="1" t="s">
        <v>117</v>
      </c>
      <c r="Y12" s="1" t="s">
        <v>117</v>
      </c>
      <c r="Z12" s="1" t="s">
        <v>118</v>
      </c>
      <c r="AA12" s="13">
        <v>55</v>
      </c>
      <c r="AB12" s="13" t="s">
        <v>119</v>
      </c>
      <c r="AC12" s="13" t="s">
        <v>80</v>
      </c>
      <c r="AD12" s="3">
        <v>2.691</v>
      </c>
      <c r="AE12" s="3">
        <v>5</v>
      </c>
      <c r="AF12" s="3">
        <v>2.319</v>
      </c>
      <c r="AG12" s="3">
        <v>10.17</v>
      </c>
      <c r="AH12" s="3">
        <v>5</v>
      </c>
      <c r="AI12" s="3">
        <v>4.028</v>
      </c>
      <c r="BE12" s="8" t="s">
        <v>129</v>
      </c>
      <c r="BF12" t="s">
        <v>128</v>
      </c>
      <c r="BH12" s="9" t="s">
        <v>125</v>
      </c>
      <c r="BI12" s="9" t="s">
        <v>126</v>
      </c>
      <c r="BJ12" s="10" t="str">
        <f t="shared" si="1"/>
        <v>tropic</v>
      </c>
      <c r="BK12" s="11" t="s">
        <v>127</v>
      </c>
    </row>
    <row r="13" ht="28.5" spans="1:63">
      <c r="A13">
        <v>12</v>
      </c>
      <c r="B13" t="s">
        <v>130</v>
      </c>
      <c r="C13" t="s">
        <v>131</v>
      </c>
      <c r="D13" t="s">
        <v>132</v>
      </c>
      <c r="E13" t="s">
        <v>133</v>
      </c>
      <c r="F13">
        <v>2025</v>
      </c>
      <c r="G13" s="12" t="s">
        <v>134</v>
      </c>
      <c r="H13" t="s">
        <v>68</v>
      </c>
      <c r="I13">
        <v>39.0851</v>
      </c>
      <c r="J13">
        <v>117.1994</v>
      </c>
      <c r="K13">
        <v>21</v>
      </c>
      <c r="L13" t="s">
        <v>69</v>
      </c>
      <c r="M13" t="str">
        <f t="shared" si="0"/>
        <v>Group D</v>
      </c>
      <c r="N13" t="s">
        <v>70</v>
      </c>
      <c r="O13" t="s">
        <v>71</v>
      </c>
      <c r="P13" t="s">
        <v>72</v>
      </c>
      <c r="Q13" t="s">
        <v>72</v>
      </c>
      <c r="R13" t="s">
        <v>72</v>
      </c>
      <c r="S13" t="s">
        <v>73</v>
      </c>
      <c r="T13" t="s">
        <v>74</v>
      </c>
      <c r="U13" t="s">
        <v>75</v>
      </c>
      <c r="V13" s="1" t="s">
        <v>117</v>
      </c>
      <c r="W13" s="1" t="s">
        <v>77</v>
      </c>
      <c r="X13" s="1" t="s">
        <v>117</v>
      </c>
      <c r="Y13" s="1" t="s">
        <v>117</v>
      </c>
      <c r="Z13" s="1" t="s">
        <v>118</v>
      </c>
      <c r="AA13" s="13">
        <v>27</v>
      </c>
      <c r="AB13" s="13" t="s">
        <v>79</v>
      </c>
      <c r="AC13" s="13" t="s">
        <v>80</v>
      </c>
      <c r="AD13" s="3">
        <v>2.059</v>
      </c>
      <c r="AE13" s="3">
        <v>4</v>
      </c>
      <c r="AF13" s="3">
        <v>0.626</v>
      </c>
      <c r="AG13" s="3">
        <v>2.448</v>
      </c>
      <c r="AH13" s="3">
        <v>3</v>
      </c>
      <c r="AI13" s="3">
        <v>0.616</v>
      </c>
      <c r="AJ13" s="5" t="s">
        <v>81</v>
      </c>
      <c r="AK13" s="14">
        <v>1.466</v>
      </c>
      <c r="AL13" s="14">
        <v>4</v>
      </c>
      <c r="AM13" s="14">
        <v>0.596</v>
      </c>
      <c r="AN13" s="14">
        <v>1.785</v>
      </c>
      <c r="AO13" s="14">
        <v>3</v>
      </c>
      <c r="AP13" s="14">
        <v>0.317</v>
      </c>
      <c r="BE13" s="8" t="s">
        <v>135</v>
      </c>
      <c r="BF13" s="1" t="s">
        <v>136</v>
      </c>
      <c r="BH13" s="9" t="s">
        <v>82</v>
      </c>
      <c r="BI13" s="9" t="s">
        <v>82</v>
      </c>
      <c r="BJ13" s="10" t="str">
        <f t="shared" si="1"/>
        <v>subtropic</v>
      </c>
      <c r="BK13" s="11" t="s">
        <v>137</v>
      </c>
    </row>
    <row r="14" ht="28.5" spans="1:63">
      <c r="A14">
        <v>13</v>
      </c>
      <c r="B14" t="s">
        <v>130</v>
      </c>
      <c r="C14" t="s">
        <v>131</v>
      </c>
      <c r="D14" t="s">
        <v>132</v>
      </c>
      <c r="E14" t="s">
        <v>133</v>
      </c>
      <c r="F14">
        <v>2025</v>
      </c>
      <c r="G14" s="12" t="s">
        <v>134</v>
      </c>
      <c r="H14" t="s">
        <v>68</v>
      </c>
      <c r="I14">
        <v>39.0851</v>
      </c>
      <c r="J14">
        <v>117.1994</v>
      </c>
      <c r="K14">
        <v>21</v>
      </c>
      <c r="L14" t="s">
        <v>69</v>
      </c>
      <c r="M14" t="str">
        <f t="shared" si="0"/>
        <v>Group D</v>
      </c>
      <c r="N14" t="s">
        <v>70</v>
      </c>
      <c r="O14" t="s">
        <v>71</v>
      </c>
      <c r="P14" t="s">
        <v>72</v>
      </c>
      <c r="Q14" t="s">
        <v>72</v>
      </c>
      <c r="R14" t="s">
        <v>72</v>
      </c>
      <c r="S14" t="s">
        <v>73</v>
      </c>
      <c r="T14" t="s">
        <v>74</v>
      </c>
      <c r="U14" t="s">
        <v>75</v>
      </c>
      <c r="V14" s="1" t="s">
        <v>117</v>
      </c>
      <c r="X14" s="1" t="s">
        <v>117</v>
      </c>
      <c r="Y14" s="1" t="s">
        <v>117</v>
      </c>
      <c r="Z14" s="1" t="s">
        <v>118</v>
      </c>
      <c r="AA14" s="13">
        <v>27</v>
      </c>
      <c r="AB14" s="13" t="s">
        <v>79</v>
      </c>
      <c r="AC14" s="13" t="s">
        <v>80</v>
      </c>
      <c r="AD14" s="3">
        <v>1.189</v>
      </c>
      <c r="AE14" s="3">
        <v>4</v>
      </c>
      <c r="AF14" s="3">
        <v>0.633</v>
      </c>
      <c r="AG14" s="3">
        <v>2.087</v>
      </c>
      <c r="AH14" s="3">
        <v>3</v>
      </c>
      <c r="AI14" s="3">
        <v>0.675</v>
      </c>
      <c r="AJ14" s="5" t="s">
        <v>81</v>
      </c>
      <c r="AK14" s="14">
        <v>1.073</v>
      </c>
      <c r="AL14" s="14">
        <v>4</v>
      </c>
      <c r="AM14" s="14">
        <v>0.462</v>
      </c>
      <c r="AN14" s="14">
        <v>1.516</v>
      </c>
      <c r="AO14" s="14">
        <v>3</v>
      </c>
      <c r="AP14" s="14">
        <v>0.415</v>
      </c>
      <c r="BE14" s="8" t="s">
        <v>99</v>
      </c>
      <c r="BH14" s="9" t="s">
        <v>82</v>
      </c>
      <c r="BI14" s="9" t="s">
        <v>82</v>
      </c>
      <c r="BJ14" s="10" t="str">
        <f t="shared" si="1"/>
        <v>subtropic</v>
      </c>
      <c r="BK14" s="11" t="s">
        <v>137</v>
      </c>
    </row>
    <row r="15" ht="28.5" spans="1:63">
      <c r="A15">
        <v>14</v>
      </c>
      <c r="B15" t="s">
        <v>130</v>
      </c>
      <c r="C15" t="s">
        <v>131</v>
      </c>
      <c r="D15" t="s">
        <v>132</v>
      </c>
      <c r="E15" t="s">
        <v>133</v>
      </c>
      <c r="F15">
        <v>2025</v>
      </c>
      <c r="G15" s="12" t="s">
        <v>134</v>
      </c>
      <c r="H15" t="s">
        <v>68</v>
      </c>
      <c r="I15">
        <v>39.0851</v>
      </c>
      <c r="J15">
        <v>117.1994</v>
      </c>
      <c r="K15">
        <v>21</v>
      </c>
      <c r="L15" t="s">
        <v>69</v>
      </c>
      <c r="M15" t="str">
        <f t="shared" si="0"/>
        <v>Group D</v>
      </c>
      <c r="N15" t="s">
        <v>70</v>
      </c>
      <c r="O15" t="s">
        <v>71</v>
      </c>
      <c r="P15" t="s">
        <v>72</v>
      </c>
      <c r="Q15" t="s">
        <v>72</v>
      </c>
      <c r="R15" t="s">
        <v>72</v>
      </c>
      <c r="S15" t="s">
        <v>73</v>
      </c>
      <c r="T15" t="s">
        <v>74</v>
      </c>
      <c r="U15" t="s">
        <v>75</v>
      </c>
      <c r="V15" s="1" t="s">
        <v>117</v>
      </c>
      <c r="X15" s="1" t="s">
        <v>117</v>
      </c>
      <c r="Y15" s="1" t="s">
        <v>117</v>
      </c>
      <c r="Z15" s="1" t="s">
        <v>118</v>
      </c>
      <c r="AA15" s="13">
        <v>27</v>
      </c>
      <c r="AB15" s="13" t="s">
        <v>79</v>
      </c>
      <c r="AC15" s="13" t="s">
        <v>80</v>
      </c>
      <c r="AD15" s="3">
        <v>1.181</v>
      </c>
      <c r="AE15" s="3">
        <v>4</v>
      </c>
      <c r="AF15" s="3">
        <v>0.548</v>
      </c>
      <c r="AG15" s="3">
        <v>1.842</v>
      </c>
      <c r="AH15" s="3">
        <v>3</v>
      </c>
      <c r="AI15" s="3">
        <v>0.478</v>
      </c>
      <c r="AJ15" s="5" t="s">
        <v>81</v>
      </c>
      <c r="AK15" s="14">
        <v>1.385</v>
      </c>
      <c r="AL15" s="14">
        <v>4</v>
      </c>
      <c r="AM15" s="14">
        <v>0.525</v>
      </c>
      <c r="AN15" s="14">
        <v>1.664</v>
      </c>
      <c r="AO15" s="14">
        <v>3</v>
      </c>
      <c r="AP15" s="14">
        <v>0.414</v>
      </c>
      <c r="BE15" s="8" t="s">
        <v>138</v>
      </c>
      <c r="BH15" s="9" t="s">
        <v>82</v>
      </c>
      <c r="BI15" s="9" t="s">
        <v>82</v>
      </c>
      <c r="BJ15" s="10" t="str">
        <f t="shared" si="1"/>
        <v>subtropic</v>
      </c>
      <c r="BK15" s="11" t="s">
        <v>137</v>
      </c>
    </row>
    <row r="16" ht="42.75" spans="1:63">
      <c r="A16">
        <v>15</v>
      </c>
      <c r="B16" t="s">
        <v>130</v>
      </c>
      <c r="C16" t="s">
        <v>131</v>
      </c>
      <c r="D16" t="s">
        <v>132</v>
      </c>
      <c r="E16" t="s">
        <v>133</v>
      </c>
      <c r="F16">
        <v>2025</v>
      </c>
      <c r="G16" s="12" t="s">
        <v>134</v>
      </c>
      <c r="H16" t="s">
        <v>68</v>
      </c>
      <c r="I16">
        <v>39.0851</v>
      </c>
      <c r="J16">
        <v>117.1994</v>
      </c>
      <c r="K16">
        <v>21</v>
      </c>
      <c r="L16" t="s">
        <v>69</v>
      </c>
      <c r="M16" t="str">
        <f t="shared" si="0"/>
        <v>Group D</v>
      </c>
      <c r="N16" t="s">
        <v>70</v>
      </c>
      <c r="O16" t="s">
        <v>71</v>
      </c>
      <c r="P16" t="s">
        <v>72</v>
      </c>
      <c r="Q16" t="s">
        <v>72</v>
      </c>
      <c r="R16" t="s">
        <v>72</v>
      </c>
      <c r="S16" t="s">
        <v>73</v>
      </c>
      <c r="T16" t="s">
        <v>74</v>
      </c>
      <c r="U16" t="s">
        <v>75</v>
      </c>
      <c r="V16" s="1" t="s">
        <v>117</v>
      </c>
      <c r="X16" s="1" t="s">
        <v>117</v>
      </c>
      <c r="Y16" s="1" t="s">
        <v>117</v>
      </c>
      <c r="Z16" s="1" t="s">
        <v>118</v>
      </c>
      <c r="AA16" s="13">
        <v>27</v>
      </c>
      <c r="AB16" s="13" t="s">
        <v>79</v>
      </c>
      <c r="AC16" s="13" t="s">
        <v>80</v>
      </c>
      <c r="AD16" s="3">
        <v>1.426</v>
      </c>
      <c r="AE16" s="3">
        <v>4</v>
      </c>
      <c r="AF16" s="3">
        <v>0.738</v>
      </c>
      <c r="AG16" s="3">
        <v>2.58</v>
      </c>
      <c r="AH16" s="3">
        <v>3</v>
      </c>
      <c r="AI16" s="3">
        <v>0.655</v>
      </c>
      <c r="AJ16" s="5" t="s">
        <v>81</v>
      </c>
      <c r="AK16" s="14">
        <v>1.426</v>
      </c>
      <c r="AL16" s="14">
        <v>4</v>
      </c>
      <c r="AM16" s="14">
        <v>0.545</v>
      </c>
      <c r="AN16" s="14">
        <v>1.883</v>
      </c>
      <c r="AO16" s="14">
        <v>3</v>
      </c>
      <c r="AP16" s="14">
        <v>0.363</v>
      </c>
      <c r="BE16" s="8" t="s">
        <v>102</v>
      </c>
      <c r="BF16" s="1" t="s">
        <v>139</v>
      </c>
      <c r="BH16" s="9" t="s">
        <v>82</v>
      </c>
      <c r="BI16" s="9" t="s">
        <v>82</v>
      </c>
      <c r="BJ16" s="10" t="str">
        <f t="shared" si="1"/>
        <v>subtropic</v>
      </c>
      <c r="BK16" s="11" t="s">
        <v>137</v>
      </c>
    </row>
    <row r="17" ht="42.75" spans="1:63">
      <c r="A17">
        <v>16</v>
      </c>
      <c r="B17" t="s">
        <v>140</v>
      </c>
      <c r="C17" t="s">
        <v>141</v>
      </c>
      <c r="D17" t="s">
        <v>142</v>
      </c>
      <c r="E17" t="s">
        <v>143</v>
      </c>
      <c r="F17">
        <v>2025</v>
      </c>
      <c r="G17" s="12" t="s">
        <v>144</v>
      </c>
      <c r="H17" t="s">
        <v>145</v>
      </c>
      <c r="I17">
        <v>-23.421</v>
      </c>
      <c r="J17">
        <v>-51.9331</v>
      </c>
      <c r="K17">
        <v>14</v>
      </c>
      <c r="L17" t="s">
        <v>89</v>
      </c>
      <c r="M17" t="str">
        <f t="shared" si="0"/>
        <v>Group C</v>
      </c>
      <c r="N17" t="s">
        <v>70</v>
      </c>
      <c r="O17" t="s">
        <v>146</v>
      </c>
      <c r="P17" t="s">
        <v>147</v>
      </c>
      <c r="Q17" t="s">
        <v>72</v>
      </c>
      <c r="R17" t="s">
        <v>147</v>
      </c>
      <c r="S17" t="s">
        <v>148</v>
      </c>
      <c r="T17" t="s">
        <v>74</v>
      </c>
      <c r="U17" t="s">
        <v>75</v>
      </c>
      <c r="V17" s="1" t="s">
        <v>117</v>
      </c>
      <c r="W17" s="1" t="s">
        <v>77</v>
      </c>
      <c r="X17" s="1" t="s">
        <v>117</v>
      </c>
      <c r="Y17" s="1" t="s">
        <v>117</v>
      </c>
      <c r="Z17" s="1" t="s">
        <v>118</v>
      </c>
      <c r="AA17" s="13">
        <v>19</v>
      </c>
      <c r="AB17" s="13" t="s">
        <v>79</v>
      </c>
      <c r="AC17" s="13" t="s">
        <v>80</v>
      </c>
      <c r="AD17" s="3">
        <v>6.961</v>
      </c>
      <c r="AE17" s="3">
        <v>5</v>
      </c>
      <c r="AF17" s="3">
        <v>3.939</v>
      </c>
      <c r="AG17" s="3">
        <v>4.401</v>
      </c>
      <c r="AH17" s="3">
        <v>5</v>
      </c>
      <c r="AI17" s="3">
        <v>1.131</v>
      </c>
      <c r="AJ17" s="5" t="s">
        <v>81</v>
      </c>
      <c r="AK17" s="14">
        <v>1.51</v>
      </c>
      <c r="AL17" s="14">
        <v>5</v>
      </c>
      <c r="AM17" s="14">
        <v>0.636</v>
      </c>
      <c r="AN17" s="14">
        <v>0.943</v>
      </c>
      <c r="AO17" s="14">
        <v>5</v>
      </c>
      <c r="AP17" s="14">
        <v>0.706</v>
      </c>
      <c r="AQ17" s="7">
        <v>32</v>
      </c>
      <c r="AR17" s="15" t="s">
        <v>149</v>
      </c>
      <c r="AS17" s="15" t="s">
        <v>150</v>
      </c>
      <c r="AT17" s="7" t="s">
        <v>97</v>
      </c>
      <c r="AU17" s="7">
        <v>0.275466</v>
      </c>
      <c r="AV17" s="7">
        <v>10</v>
      </c>
      <c r="AW17" s="7">
        <v>0.115366</v>
      </c>
      <c r="AX17" s="7">
        <v>0.185807</v>
      </c>
      <c r="AY17" s="7">
        <v>10</v>
      </c>
      <c r="AZ17" s="7">
        <v>0.147484</v>
      </c>
      <c r="BA17" s="7">
        <v>0.57752</v>
      </c>
      <c r="BB17" s="7">
        <v>25</v>
      </c>
      <c r="BC17" s="7">
        <v>0.193983</v>
      </c>
      <c r="BD17" s="29" t="s">
        <v>98</v>
      </c>
      <c r="BE17" s="8" t="s">
        <v>151</v>
      </c>
      <c r="BF17" s="1" t="s">
        <v>152</v>
      </c>
      <c r="BG17" s="7" t="s">
        <v>101</v>
      </c>
      <c r="BH17" s="9" t="s">
        <v>153</v>
      </c>
      <c r="BI17" s="9" t="s">
        <v>126</v>
      </c>
      <c r="BJ17" s="10" t="str">
        <f t="shared" si="1"/>
        <v>tropic</v>
      </c>
      <c r="BK17" s="11" t="s">
        <v>137</v>
      </c>
    </row>
    <row r="18" ht="28.5" spans="1:63">
      <c r="A18">
        <v>17</v>
      </c>
      <c r="B18" t="s">
        <v>140</v>
      </c>
      <c r="C18" t="s">
        <v>141</v>
      </c>
      <c r="D18" t="s">
        <v>154</v>
      </c>
      <c r="E18" t="s">
        <v>143</v>
      </c>
      <c r="F18">
        <v>2025</v>
      </c>
      <c r="G18" s="12" t="s">
        <v>144</v>
      </c>
      <c r="H18" t="s">
        <v>145</v>
      </c>
      <c r="I18">
        <v>-23.421</v>
      </c>
      <c r="J18">
        <v>-51.9331</v>
      </c>
      <c r="K18">
        <v>14</v>
      </c>
      <c r="L18" t="s">
        <v>89</v>
      </c>
      <c r="M18" t="str">
        <f t="shared" si="0"/>
        <v>Group C</v>
      </c>
      <c r="N18" t="s">
        <v>70</v>
      </c>
      <c r="O18" t="s">
        <v>146</v>
      </c>
      <c r="P18" t="s">
        <v>147</v>
      </c>
      <c r="Q18" t="s">
        <v>72</v>
      </c>
      <c r="R18" t="s">
        <v>147</v>
      </c>
      <c r="S18" t="s">
        <v>148</v>
      </c>
      <c r="T18" t="s">
        <v>74</v>
      </c>
      <c r="U18" t="s">
        <v>75</v>
      </c>
      <c r="V18" s="1" t="s">
        <v>117</v>
      </c>
      <c r="W18" s="1" t="s">
        <v>77</v>
      </c>
      <c r="X18" s="1" t="s">
        <v>117</v>
      </c>
      <c r="Y18" s="1" t="s">
        <v>117</v>
      </c>
      <c r="Z18" s="1" t="s">
        <v>118</v>
      </c>
      <c r="AA18" s="13">
        <v>19</v>
      </c>
      <c r="AB18" s="13" t="s">
        <v>79</v>
      </c>
      <c r="AC18" s="13" t="s">
        <v>80</v>
      </c>
      <c r="AD18" s="3">
        <v>6.022</v>
      </c>
      <c r="AE18" s="3">
        <v>5</v>
      </c>
      <c r="AF18" s="3">
        <v>1.97</v>
      </c>
      <c r="AG18" s="3">
        <v>4.402</v>
      </c>
      <c r="AH18" s="3">
        <v>5</v>
      </c>
      <c r="AI18" s="3">
        <v>3.01</v>
      </c>
      <c r="AJ18" s="5" t="s">
        <v>81</v>
      </c>
      <c r="AK18" s="14">
        <v>1.374</v>
      </c>
      <c r="AL18" s="14">
        <v>5</v>
      </c>
      <c r="AM18" s="14">
        <v>0.12</v>
      </c>
      <c r="AN18" s="14">
        <v>0.568</v>
      </c>
      <c r="AO18" s="14">
        <v>5</v>
      </c>
      <c r="AP18" s="14">
        <v>0.684</v>
      </c>
      <c r="AQ18" s="7">
        <v>51</v>
      </c>
      <c r="AR18" s="15" t="s">
        <v>149</v>
      </c>
      <c r="AS18" s="15" t="s">
        <v>150</v>
      </c>
      <c r="AT18" s="7" t="s">
        <v>97</v>
      </c>
      <c r="AU18" s="7">
        <v>0.264671</v>
      </c>
      <c r="AV18" s="7">
        <v>10</v>
      </c>
      <c r="AW18" s="7">
        <v>0.160765</v>
      </c>
      <c r="AX18" s="7">
        <v>0.407154</v>
      </c>
      <c r="AY18" s="7">
        <v>10</v>
      </c>
      <c r="AZ18" s="7">
        <v>0.216412</v>
      </c>
      <c r="BA18" s="7">
        <v>0.717036</v>
      </c>
      <c r="BB18" s="7">
        <v>25</v>
      </c>
      <c r="BC18" s="7">
        <v>0.146374</v>
      </c>
      <c r="BD18" s="29" t="s">
        <v>98</v>
      </c>
      <c r="BE18" s="8" t="s">
        <v>155</v>
      </c>
      <c r="BG18" s="7" t="s">
        <v>101</v>
      </c>
      <c r="BH18" s="9" t="s">
        <v>153</v>
      </c>
      <c r="BI18" s="9" t="s">
        <v>126</v>
      </c>
      <c r="BJ18" s="10" t="str">
        <f t="shared" si="1"/>
        <v>tropic</v>
      </c>
      <c r="BK18" s="11" t="s">
        <v>137</v>
      </c>
    </row>
    <row r="19" ht="28.5" spans="1:63">
      <c r="A19">
        <v>18</v>
      </c>
      <c r="B19" t="s">
        <v>140</v>
      </c>
      <c r="C19" t="s">
        <v>141</v>
      </c>
      <c r="D19" t="s">
        <v>156</v>
      </c>
      <c r="E19" t="s">
        <v>143</v>
      </c>
      <c r="F19">
        <v>2025</v>
      </c>
      <c r="G19" s="12" t="s">
        <v>144</v>
      </c>
      <c r="H19" t="s">
        <v>145</v>
      </c>
      <c r="I19">
        <v>-23.421</v>
      </c>
      <c r="J19">
        <v>-51.9331</v>
      </c>
      <c r="K19">
        <v>14</v>
      </c>
      <c r="L19" t="s">
        <v>89</v>
      </c>
      <c r="M19" t="str">
        <f t="shared" si="0"/>
        <v>Group C</v>
      </c>
      <c r="N19" t="s">
        <v>70</v>
      </c>
      <c r="O19" t="s">
        <v>146</v>
      </c>
      <c r="P19" t="s">
        <v>147</v>
      </c>
      <c r="Q19" t="s">
        <v>72</v>
      </c>
      <c r="R19" t="s">
        <v>147</v>
      </c>
      <c r="S19" t="s">
        <v>148</v>
      </c>
      <c r="T19" t="s">
        <v>74</v>
      </c>
      <c r="U19" t="s">
        <v>75</v>
      </c>
      <c r="V19" s="1" t="s">
        <v>117</v>
      </c>
      <c r="W19" s="1" t="s">
        <v>77</v>
      </c>
      <c r="X19" s="1" t="s">
        <v>117</v>
      </c>
      <c r="Y19" s="1" t="s">
        <v>117</v>
      </c>
      <c r="Z19" s="1" t="s">
        <v>118</v>
      </c>
      <c r="AA19" s="13">
        <v>19</v>
      </c>
      <c r="AB19" s="13" t="s">
        <v>79</v>
      </c>
      <c r="AC19" s="13" t="s">
        <v>80</v>
      </c>
      <c r="AD19" s="3">
        <v>8.09</v>
      </c>
      <c r="AE19" s="3">
        <v>5</v>
      </c>
      <c r="AF19" s="3">
        <v>4.262</v>
      </c>
      <c r="AG19" s="3">
        <v>3.377</v>
      </c>
      <c r="AH19" s="3">
        <v>5</v>
      </c>
      <c r="AI19" s="3">
        <v>1.06</v>
      </c>
      <c r="AJ19" s="5" t="s">
        <v>81</v>
      </c>
      <c r="AK19" s="14">
        <v>1.791</v>
      </c>
      <c r="AL19" s="14">
        <v>5</v>
      </c>
      <c r="AM19" s="14">
        <v>0.313</v>
      </c>
      <c r="AN19" s="14">
        <v>0.606</v>
      </c>
      <c r="AO19" s="14">
        <v>5</v>
      </c>
      <c r="AP19" s="14">
        <v>0.145</v>
      </c>
      <c r="AQ19" s="7">
        <v>52</v>
      </c>
      <c r="AR19" s="15" t="s">
        <v>149</v>
      </c>
      <c r="AS19" s="15" t="s">
        <v>150</v>
      </c>
      <c r="AT19" s="7" t="s">
        <v>97</v>
      </c>
      <c r="AU19" s="7">
        <v>0.183123</v>
      </c>
      <c r="AV19" s="7">
        <v>10</v>
      </c>
      <c r="AW19" s="7">
        <v>0.101345</v>
      </c>
      <c r="AX19" s="7">
        <v>0.25137</v>
      </c>
      <c r="AY19" s="7">
        <v>10</v>
      </c>
      <c r="AZ19" s="7">
        <v>0.11517</v>
      </c>
      <c r="BA19" s="7">
        <v>0.735415</v>
      </c>
      <c r="BB19" s="7">
        <v>25</v>
      </c>
      <c r="BC19" s="7">
        <v>0.137</v>
      </c>
      <c r="BD19" s="29" t="s">
        <v>98</v>
      </c>
      <c r="BE19" s="8" t="s">
        <v>157</v>
      </c>
      <c r="BG19" s="7" t="s">
        <v>101</v>
      </c>
      <c r="BH19" s="9" t="s">
        <v>153</v>
      </c>
      <c r="BI19" s="9" t="s">
        <v>126</v>
      </c>
      <c r="BJ19" s="10" t="str">
        <f t="shared" si="1"/>
        <v>tropic</v>
      </c>
      <c r="BK19" s="11" t="s">
        <v>137</v>
      </c>
    </row>
    <row r="20" ht="28.5" spans="1:63">
      <c r="A20">
        <v>19</v>
      </c>
      <c r="B20" t="s">
        <v>158</v>
      </c>
      <c r="C20" t="s">
        <v>159</v>
      </c>
      <c r="D20" t="s">
        <v>160</v>
      </c>
      <c r="E20" t="s">
        <v>161</v>
      </c>
      <c r="F20">
        <v>2025</v>
      </c>
      <c r="G20" s="12" t="s">
        <v>162</v>
      </c>
      <c r="H20" t="s">
        <v>68</v>
      </c>
      <c r="I20">
        <v>23.1291</v>
      </c>
      <c r="J20">
        <v>113.2644</v>
      </c>
      <c r="K20">
        <v>11</v>
      </c>
      <c r="L20" t="s">
        <v>111</v>
      </c>
      <c r="M20" t="str">
        <f t="shared" si="0"/>
        <v>Group C</v>
      </c>
      <c r="N20" t="s">
        <v>70</v>
      </c>
      <c r="O20" t="s">
        <v>71</v>
      </c>
      <c r="P20" t="s">
        <v>72</v>
      </c>
      <c r="Q20" t="s">
        <v>72</v>
      </c>
      <c r="R20" t="s">
        <v>72</v>
      </c>
      <c r="S20" t="s">
        <v>73</v>
      </c>
      <c r="T20" t="s">
        <v>74</v>
      </c>
      <c r="U20" t="s">
        <v>90</v>
      </c>
      <c r="V20" s="1" t="s">
        <v>163</v>
      </c>
      <c r="X20" s="1" t="s">
        <v>92</v>
      </c>
      <c r="Y20" s="1" t="s">
        <v>92</v>
      </c>
      <c r="Z20" s="1" t="s">
        <v>92</v>
      </c>
      <c r="AA20" s="13">
        <v>57</v>
      </c>
      <c r="AB20" s="13" t="s">
        <v>119</v>
      </c>
      <c r="AC20" s="13" t="s">
        <v>80</v>
      </c>
      <c r="AD20" s="3">
        <v>2163.636</v>
      </c>
      <c r="AE20" s="3">
        <v>4</v>
      </c>
      <c r="AF20" s="3">
        <v>815.75</v>
      </c>
      <c r="AG20" s="4">
        <v>471</v>
      </c>
      <c r="AH20" s="3">
        <v>4</v>
      </c>
      <c r="AI20" s="3">
        <v>423.43</v>
      </c>
      <c r="BH20" s="9" t="s">
        <v>125</v>
      </c>
      <c r="BI20" s="9" t="s">
        <v>126</v>
      </c>
      <c r="BJ20" s="10" t="str">
        <f t="shared" si="1"/>
        <v>tropic</v>
      </c>
      <c r="BK20" s="11" t="s">
        <v>164</v>
      </c>
    </row>
    <row r="21" ht="42.75" spans="1:63">
      <c r="A21">
        <v>20</v>
      </c>
      <c r="B21" t="s">
        <v>165</v>
      </c>
      <c r="C21" t="s">
        <v>166</v>
      </c>
      <c r="D21" t="s">
        <v>167</v>
      </c>
      <c r="E21" t="s">
        <v>168</v>
      </c>
      <c r="F21">
        <v>2025</v>
      </c>
      <c r="G21" s="17" t="s">
        <v>169</v>
      </c>
      <c r="H21" t="s">
        <v>170</v>
      </c>
      <c r="I21">
        <v>-43</v>
      </c>
      <c r="J21">
        <v>-71</v>
      </c>
      <c r="K21">
        <v>9</v>
      </c>
      <c r="L21" t="s">
        <v>171</v>
      </c>
      <c r="M21" t="str">
        <f t="shared" si="0"/>
        <v>Group C</v>
      </c>
      <c r="N21" t="s">
        <v>70</v>
      </c>
      <c r="O21" t="s">
        <v>146</v>
      </c>
      <c r="P21" t="s">
        <v>72</v>
      </c>
      <c r="Q21" t="s">
        <v>72</v>
      </c>
      <c r="R21" t="s">
        <v>72</v>
      </c>
      <c r="S21" t="s">
        <v>73</v>
      </c>
      <c r="T21" t="s">
        <v>74</v>
      </c>
      <c r="U21" t="s">
        <v>75</v>
      </c>
      <c r="V21" s="1" t="s">
        <v>172</v>
      </c>
      <c r="X21" s="1" t="s">
        <v>172</v>
      </c>
      <c r="Y21" s="1" t="s">
        <v>172</v>
      </c>
      <c r="Z21" s="1" t="s">
        <v>173</v>
      </c>
      <c r="AA21" s="13">
        <v>132</v>
      </c>
      <c r="AB21" s="13" t="s">
        <v>174</v>
      </c>
      <c r="AC21" s="13" t="s">
        <v>94</v>
      </c>
      <c r="AD21" s="3">
        <v>19.4</v>
      </c>
      <c r="AE21" s="3">
        <v>8</v>
      </c>
      <c r="AF21" s="3">
        <v>4.06</v>
      </c>
      <c r="AG21" s="4">
        <v>17.6</v>
      </c>
      <c r="AH21" s="3">
        <v>9</v>
      </c>
      <c r="AI21" s="3">
        <v>2.91</v>
      </c>
      <c r="AJ21" s="5" t="s">
        <v>81</v>
      </c>
      <c r="AK21" s="14">
        <v>2.2</v>
      </c>
      <c r="AL21" s="14">
        <v>8</v>
      </c>
      <c r="AM21" s="14">
        <v>0.3344</v>
      </c>
      <c r="AN21" s="14">
        <v>1.8</v>
      </c>
      <c r="AO21" s="14">
        <v>9</v>
      </c>
      <c r="AP21" s="14">
        <v>0.4925</v>
      </c>
      <c r="BH21" s="9" t="s">
        <v>82</v>
      </c>
      <c r="BI21" s="9" t="s">
        <v>82</v>
      </c>
      <c r="BJ21" s="10" t="str">
        <f t="shared" si="1"/>
        <v>temperate</v>
      </c>
      <c r="BK21" s="11" t="s">
        <v>164</v>
      </c>
    </row>
    <row r="22" ht="57" spans="1:63">
      <c r="A22">
        <v>21</v>
      </c>
      <c r="B22" t="s">
        <v>175</v>
      </c>
      <c r="C22" t="s">
        <v>176</v>
      </c>
      <c r="D22" t="s">
        <v>177</v>
      </c>
      <c r="E22" t="s">
        <v>178</v>
      </c>
      <c r="F22">
        <v>2024</v>
      </c>
      <c r="G22" s="12" t="s">
        <v>179</v>
      </c>
      <c r="H22" t="s">
        <v>180</v>
      </c>
      <c r="I22">
        <v>48.9978</v>
      </c>
      <c r="J22">
        <v>21.2399</v>
      </c>
      <c r="K22">
        <v>26</v>
      </c>
      <c r="L22" t="s">
        <v>181</v>
      </c>
      <c r="M22" t="str">
        <f t="shared" si="0"/>
        <v>Group D</v>
      </c>
      <c r="N22" t="s">
        <v>182</v>
      </c>
      <c r="O22" t="s">
        <v>183</v>
      </c>
      <c r="P22" t="s">
        <v>72</v>
      </c>
      <c r="Q22" t="s">
        <v>72</v>
      </c>
      <c r="R22" t="s">
        <v>72</v>
      </c>
      <c r="S22" t="s">
        <v>73</v>
      </c>
      <c r="T22" t="s">
        <v>74</v>
      </c>
      <c r="U22" t="s">
        <v>75</v>
      </c>
      <c r="V22" s="1" t="s">
        <v>184</v>
      </c>
      <c r="W22" s="1" t="s">
        <v>77</v>
      </c>
      <c r="X22" s="1" t="s">
        <v>172</v>
      </c>
      <c r="Y22" s="1" t="s">
        <v>172</v>
      </c>
      <c r="Z22" s="1" t="s">
        <v>173</v>
      </c>
      <c r="AA22" s="13">
        <v>318.4</v>
      </c>
      <c r="AB22" s="13" t="s">
        <v>93</v>
      </c>
      <c r="AC22" s="13" t="s">
        <v>94</v>
      </c>
      <c r="AD22" s="3">
        <v>14.56</v>
      </c>
      <c r="AE22" s="3">
        <v>9</v>
      </c>
      <c r="AF22" s="3">
        <v>2.182</v>
      </c>
      <c r="AG22" s="4">
        <v>12.87</v>
      </c>
      <c r="AH22" s="3">
        <v>9</v>
      </c>
      <c r="AI22" s="3">
        <v>2.585</v>
      </c>
      <c r="BF22" s="1" t="s">
        <v>185</v>
      </c>
      <c r="BH22" s="9" t="s">
        <v>82</v>
      </c>
      <c r="BI22" s="9" t="s">
        <v>82</v>
      </c>
      <c r="BJ22" s="10" t="str">
        <f t="shared" si="1"/>
        <v>temperate</v>
      </c>
      <c r="BK22" s="11" t="s">
        <v>127</v>
      </c>
    </row>
    <row r="23" spans="1:63">
      <c r="A23">
        <v>22</v>
      </c>
      <c r="B23" t="s">
        <v>186</v>
      </c>
      <c r="C23" t="s">
        <v>187</v>
      </c>
      <c r="D23" t="s">
        <v>188</v>
      </c>
      <c r="E23" t="s">
        <v>189</v>
      </c>
      <c r="F23">
        <v>2024</v>
      </c>
      <c r="G23" s="12" t="s">
        <v>190</v>
      </c>
      <c r="H23" t="s">
        <v>68</v>
      </c>
      <c r="I23">
        <v>30.2741</v>
      </c>
      <c r="J23">
        <v>120.1552</v>
      </c>
      <c r="K23">
        <v>14</v>
      </c>
      <c r="L23" t="s">
        <v>89</v>
      </c>
      <c r="M23" t="str">
        <f t="shared" si="0"/>
        <v>Group C</v>
      </c>
      <c r="N23" t="s">
        <v>70</v>
      </c>
      <c r="O23" t="s">
        <v>71</v>
      </c>
      <c r="P23" t="s">
        <v>72</v>
      </c>
      <c r="Q23" t="s">
        <v>72</v>
      </c>
      <c r="R23" t="s">
        <v>72</v>
      </c>
      <c r="S23" t="s">
        <v>73</v>
      </c>
      <c r="T23" t="s">
        <v>74</v>
      </c>
      <c r="U23" t="s">
        <v>191</v>
      </c>
      <c r="V23" s="1" t="s">
        <v>191</v>
      </c>
      <c r="X23" s="1" t="s">
        <v>191</v>
      </c>
      <c r="Y23" s="1" t="s">
        <v>191</v>
      </c>
      <c r="Z23" s="1" t="s">
        <v>191</v>
      </c>
      <c r="AA23" s="13">
        <v>9.07</v>
      </c>
      <c r="AB23" s="13" t="s">
        <v>192</v>
      </c>
      <c r="AC23" s="13" t="s">
        <v>80</v>
      </c>
      <c r="AD23" s="3">
        <v>5.6</v>
      </c>
      <c r="AE23" s="3">
        <v>6</v>
      </c>
      <c r="AF23" s="3">
        <v>1.14</v>
      </c>
      <c r="AG23" s="4">
        <v>4.167</v>
      </c>
      <c r="AH23" s="3">
        <v>6</v>
      </c>
      <c r="AI23" s="3">
        <v>0.753</v>
      </c>
      <c r="AJ23" s="5" t="s">
        <v>81</v>
      </c>
      <c r="AK23" s="14">
        <v>1.16</v>
      </c>
      <c r="AL23" s="14">
        <v>6</v>
      </c>
      <c r="AM23" s="14">
        <v>0.268</v>
      </c>
      <c r="AN23" s="14">
        <v>1.162</v>
      </c>
      <c r="AO23" s="14">
        <v>6</v>
      </c>
      <c r="AP23" s="14">
        <v>0.185</v>
      </c>
      <c r="BJ23" s="10" t="s">
        <v>193</v>
      </c>
      <c r="BK23" s="11" t="s">
        <v>83</v>
      </c>
    </row>
    <row r="24" ht="28.5" spans="1:63">
      <c r="A24">
        <v>23</v>
      </c>
      <c r="B24" t="s">
        <v>194</v>
      </c>
      <c r="C24" t="s">
        <v>195</v>
      </c>
      <c r="D24" t="s">
        <v>196</v>
      </c>
      <c r="E24" t="s">
        <v>197</v>
      </c>
      <c r="F24">
        <v>2024</v>
      </c>
      <c r="G24" s="12" t="s">
        <v>198</v>
      </c>
      <c r="H24" t="s">
        <v>68</v>
      </c>
      <c r="I24">
        <v>22.5429</v>
      </c>
      <c r="J24">
        <v>114.0596</v>
      </c>
      <c r="K24">
        <v>11</v>
      </c>
      <c r="L24" t="s">
        <v>111</v>
      </c>
      <c r="M24" t="str">
        <f t="shared" si="0"/>
        <v>Group C</v>
      </c>
      <c r="N24" t="s">
        <v>70</v>
      </c>
      <c r="O24" t="s">
        <v>71</v>
      </c>
      <c r="P24" t="s">
        <v>72</v>
      </c>
      <c r="Q24" t="s">
        <v>72</v>
      </c>
      <c r="R24" t="s">
        <v>72</v>
      </c>
      <c r="S24" t="s">
        <v>73</v>
      </c>
      <c r="T24" t="s">
        <v>74</v>
      </c>
      <c r="U24" t="s">
        <v>75</v>
      </c>
      <c r="V24" s="1" t="s">
        <v>117</v>
      </c>
      <c r="W24" s="1" t="s">
        <v>77</v>
      </c>
      <c r="X24" s="1" t="s">
        <v>117</v>
      </c>
      <c r="Y24" s="1" t="s">
        <v>117</v>
      </c>
      <c r="Z24" s="1" t="s">
        <v>118</v>
      </c>
      <c r="AA24" s="13">
        <v>70.5</v>
      </c>
      <c r="AB24" s="13" t="s">
        <v>119</v>
      </c>
      <c r="AC24" s="13" t="s">
        <v>80</v>
      </c>
      <c r="AD24" s="3">
        <v>3.493</v>
      </c>
      <c r="AE24" s="3">
        <v>23</v>
      </c>
      <c r="AF24" s="3">
        <v>2.316</v>
      </c>
      <c r="AG24" s="4">
        <v>3.345</v>
      </c>
      <c r="AH24" s="3">
        <v>30</v>
      </c>
      <c r="AI24" s="3">
        <v>2.343</v>
      </c>
      <c r="AJ24" s="5" t="s">
        <v>81</v>
      </c>
      <c r="AK24" s="14">
        <v>0.854</v>
      </c>
      <c r="AL24" s="14">
        <v>23</v>
      </c>
      <c r="AM24" s="14">
        <v>0.436</v>
      </c>
      <c r="AN24" s="14">
        <v>0.619</v>
      </c>
      <c r="AO24" s="14">
        <v>30</v>
      </c>
      <c r="AP24" s="14">
        <v>0.591</v>
      </c>
      <c r="BH24" s="9" t="s">
        <v>125</v>
      </c>
      <c r="BI24" s="9" t="s">
        <v>126</v>
      </c>
      <c r="BJ24" s="10" t="str">
        <f t="shared" ref="BJ24:BJ35" si="2">IF(ABS(I24)&lt;23.5,"tropic",IF(ABS(I24)&lt;40,"subtropic",IF(ABS(I24)&lt;60,"temperate","arctic")))</f>
        <v>tropic</v>
      </c>
      <c r="BK24" s="11" t="s">
        <v>164</v>
      </c>
    </row>
    <row r="25" ht="28.5" spans="1:63">
      <c r="A25">
        <v>24</v>
      </c>
      <c r="B25" t="s">
        <v>194</v>
      </c>
      <c r="C25" t="s">
        <v>195</v>
      </c>
      <c r="D25" t="s">
        <v>196</v>
      </c>
      <c r="E25" t="s">
        <v>197</v>
      </c>
      <c r="F25">
        <v>2024</v>
      </c>
      <c r="G25" s="12" t="s">
        <v>198</v>
      </c>
      <c r="H25" t="s">
        <v>68</v>
      </c>
      <c r="I25">
        <v>22.5429</v>
      </c>
      <c r="J25">
        <v>114.0596</v>
      </c>
      <c r="K25">
        <v>11</v>
      </c>
      <c r="L25" t="s">
        <v>111</v>
      </c>
      <c r="M25" t="str">
        <f t="shared" si="0"/>
        <v>Group C</v>
      </c>
      <c r="N25" t="s">
        <v>70</v>
      </c>
      <c r="O25" t="s">
        <v>71</v>
      </c>
      <c r="P25" t="s">
        <v>72</v>
      </c>
      <c r="Q25" t="s">
        <v>72</v>
      </c>
      <c r="R25" t="s">
        <v>72</v>
      </c>
      <c r="S25" t="s">
        <v>73</v>
      </c>
      <c r="T25" t="s">
        <v>74</v>
      </c>
      <c r="U25" t="s">
        <v>75</v>
      </c>
      <c r="V25" s="1" t="s">
        <v>117</v>
      </c>
      <c r="X25" s="1" t="s">
        <v>117</v>
      </c>
      <c r="Y25" s="1" t="s">
        <v>117</v>
      </c>
      <c r="Z25" s="1" t="s">
        <v>118</v>
      </c>
      <c r="AA25" s="13">
        <v>70.5</v>
      </c>
      <c r="AB25" s="13" t="s">
        <v>119</v>
      </c>
      <c r="AC25" s="13" t="s">
        <v>80</v>
      </c>
      <c r="AQ25" s="7">
        <v>3</v>
      </c>
      <c r="AR25" s="15" t="s">
        <v>199</v>
      </c>
      <c r="AS25" s="15" t="s">
        <v>200</v>
      </c>
      <c r="AT25" s="7" t="s">
        <v>122</v>
      </c>
      <c r="AU25" s="7">
        <v>0.685087</v>
      </c>
      <c r="AV25" s="7">
        <v>435</v>
      </c>
      <c r="AW25" s="7">
        <v>0.382192</v>
      </c>
      <c r="AX25" s="7">
        <v>1.398923</v>
      </c>
      <c r="AY25" s="7">
        <v>231</v>
      </c>
      <c r="AZ25" s="7">
        <v>0.837562</v>
      </c>
      <c r="BA25" s="7">
        <v>1.395052</v>
      </c>
      <c r="BB25" s="7">
        <v>660</v>
      </c>
      <c r="BC25" s="7">
        <v>0.75122</v>
      </c>
      <c r="BD25" s="29" t="s">
        <v>98</v>
      </c>
      <c r="BE25" s="8" t="s">
        <v>129</v>
      </c>
      <c r="BF25" s="1" t="s">
        <v>201</v>
      </c>
      <c r="BG25" s="7" t="s">
        <v>101</v>
      </c>
      <c r="BH25" s="9" t="s">
        <v>125</v>
      </c>
      <c r="BI25" s="9" t="s">
        <v>126</v>
      </c>
      <c r="BJ25" s="10" t="str">
        <f t="shared" si="2"/>
        <v>tropic</v>
      </c>
      <c r="BK25" s="11" t="s">
        <v>164</v>
      </c>
    </row>
    <row r="26" ht="28.5" spans="1:63">
      <c r="A26">
        <v>25</v>
      </c>
      <c r="B26" t="s">
        <v>194</v>
      </c>
      <c r="C26" t="s">
        <v>195</v>
      </c>
      <c r="D26" t="s">
        <v>196</v>
      </c>
      <c r="E26" t="s">
        <v>197</v>
      </c>
      <c r="F26">
        <v>2024</v>
      </c>
      <c r="G26" s="12" t="s">
        <v>198</v>
      </c>
      <c r="H26" t="s">
        <v>68</v>
      </c>
      <c r="I26">
        <v>22.5429</v>
      </c>
      <c r="J26">
        <v>114.0596</v>
      </c>
      <c r="K26">
        <v>11</v>
      </c>
      <c r="L26" t="s">
        <v>111</v>
      </c>
      <c r="M26" t="str">
        <f t="shared" si="0"/>
        <v>Group C</v>
      </c>
      <c r="N26" t="s">
        <v>70</v>
      </c>
      <c r="O26" t="s">
        <v>71</v>
      </c>
      <c r="P26" t="s">
        <v>72</v>
      </c>
      <c r="Q26" t="s">
        <v>72</v>
      </c>
      <c r="R26" t="s">
        <v>72</v>
      </c>
      <c r="S26" t="s">
        <v>73</v>
      </c>
      <c r="T26" t="s">
        <v>74</v>
      </c>
      <c r="U26" t="s">
        <v>75</v>
      </c>
      <c r="V26" s="1" t="s">
        <v>117</v>
      </c>
      <c r="X26" s="1" t="s">
        <v>117</v>
      </c>
      <c r="Y26" s="1" t="s">
        <v>117</v>
      </c>
      <c r="Z26" s="1" t="s">
        <v>118</v>
      </c>
      <c r="AA26" s="13">
        <v>70.5</v>
      </c>
      <c r="AB26" s="13" t="s">
        <v>119</v>
      </c>
      <c r="AC26" s="13" t="s">
        <v>80</v>
      </c>
      <c r="AQ26" s="7">
        <v>50</v>
      </c>
      <c r="AR26" s="15" t="s">
        <v>199</v>
      </c>
      <c r="AS26" s="15" t="s">
        <v>200</v>
      </c>
      <c r="AT26" s="7" t="s">
        <v>122</v>
      </c>
      <c r="AU26" s="7">
        <v>0.808042</v>
      </c>
      <c r="AV26" s="7">
        <v>406</v>
      </c>
      <c r="AW26" s="7">
        <v>0.514973</v>
      </c>
      <c r="AX26" s="7">
        <v>1.793281</v>
      </c>
      <c r="AY26" s="7">
        <v>253</v>
      </c>
      <c r="AZ26" s="7">
        <v>0.920372</v>
      </c>
      <c r="BA26" s="7">
        <v>1.691024</v>
      </c>
      <c r="BB26" s="7">
        <v>667</v>
      </c>
      <c r="BC26" s="7">
        <v>1.084485</v>
      </c>
      <c r="BD26" s="29" t="s">
        <v>98</v>
      </c>
      <c r="BE26" s="8" t="s">
        <v>123</v>
      </c>
      <c r="BF26" s="1" t="s">
        <v>202</v>
      </c>
      <c r="BG26" s="7" t="s">
        <v>101</v>
      </c>
      <c r="BH26" s="9" t="s">
        <v>125</v>
      </c>
      <c r="BI26" s="9" t="s">
        <v>126</v>
      </c>
      <c r="BJ26" s="10" t="str">
        <f t="shared" si="2"/>
        <v>tropic</v>
      </c>
      <c r="BK26" s="11" t="s">
        <v>164</v>
      </c>
    </row>
    <row r="27" ht="42.75" spans="1:63">
      <c r="A27">
        <v>26</v>
      </c>
      <c r="B27" t="s">
        <v>203</v>
      </c>
      <c r="C27" t="s">
        <v>204</v>
      </c>
      <c r="D27" t="s">
        <v>205</v>
      </c>
      <c r="E27" t="s">
        <v>206</v>
      </c>
      <c r="F27">
        <v>2024</v>
      </c>
      <c r="G27" s="12" t="s">
        <v>207</v>
      </c>
      <c r="H27" t="s">
        <v>208</v>
      </c>
      <c r="I27">
        <v>-42.854</v>
      </c>
      <c r="J27">
        <v>-71.289</v>
      </c>
      <c r="K27">
        <v>9</v>
      </c>
      <c r="L27" t="s">
        <v>171</v>
      </c>
      <c r="M27" t="str">
        <f t="shared" si="0"/>
        <v>Group C</v>
      </c>
      <c r="N27" t="s">
        <v>70</v>
      </c>
      <c r="O27" t="s">
        <v>146</v>
      </c>
      <c r="P27" t="s">
        <v>72</v>
      </c>
      <c r="Q27" t="s">
        <v>72</v>
      </c>
      <c r="R27" t="s">
        <v>72</v>
      </c>
      <c r="S27" t="s">
        <v>73</v>
      </c>
      <c r="T27" t="s">
        <v>74</v>
      </c>
      <c r="U27" t="s">
        <v>75</v>
      </c>
      <c r="V27" s="1" t="s">
        <v>172</v>
      </c>
      <c r="X27" s="1" t="s">
        <v>172</v>
      </c>
      <c r="Y27" s="1" t="s">
        <v>172</v>
      </c>
      <c r="Z27" s="1" t="s">
        <v>173</v>
      </c>
      <c r="AA27" s="13">
        <v>4.59</v>
      </c>
      <c r="AB27" s="13" t="s">
        <v>192</v>
      </c>
      <c r="AC27" s="13" t="s">
        <v>80</v>
      </c>
      <c r="AD27" s="3">
        <v>14.481</v>
      </c>
      <c r="AE27" s="3">
        <v>3</v>
      </c>
      <c r="AF27" s="3">
        <v>1.719</v>
      </c>
      <c r="AG27" s="4">
        <v>14.427</v>
      </c>
      <c r="AH27" s="3">
        <v>3</v>
      </c>
      <c r="AI27" s="3">
        <v>2.727</v>
      </c>
      <c r="BH27" s="9" t="s">
        <v>209</v>
      </c>
      <c r="BI27" s="9" t="s">
        <v>126</v>
      </c>
      <c r="BJ27" s="10" t="str">
        <f t="shared" si="2"/>
        <v>temperate</v>
      </c>
      <c r="BK27" s="11" t="s">
        <v>83</v>
      </c>
    </row>
    <row r="28" ht="28.5" spans="1:63">
      <c r="A28">
        <v>27</v>
      </c>
      <c r="B28" t="s">
        <v>210</v>
      </c>
      <c r="C28" t="s">
        <v>211</v>
      </c>
      <c r="D28" t="s">
        <v>212</v>
      </c>
      <c r="E28" t="s">
        <v>213</v>
      </c>
      <c r="F28">
        <v>2024</v>
      </c>
      <c r="G28" s="12" t="s">
        <v>214</v>
      </c>
      <c r="H28" t="s">
        <v>215</v>
      </c>
      <c r="I28">
        <v>44.4268</v>
      </c>
      <c r="J28">
        <v>26.1025</v>
      </c>
      <c r="K28">
        <v>25</v>
      </c>
      <c r="L28" t="s">
        <v>216</v>
      </c>
      <c r="M28" t="str">
        <f t="shared" si="0"/>
        <v>Group D</v>
      </c>
      <c r="N28" t="s">
        <v>182</v>
      </c>
      <c r="O28" t="s">
        <v>183</v>
      </c>
      <c r="P28" t="s">
        <v>217</v>
      </c>
      <c r="Q28" t="s">
        <v>217</v>
      </c>
      <c r="R28" t="s">
        <v>218</v>
      </c>
      <c r="S28" t="s">
        <v>219</v>
      </c>
      <c r="T28" t="s">
        <v>74</v>
      </c>
      <c r="U28" t="s">
        <v>191</v>
      </c>
      <c r="V28" s="1" t="s">
        <v>220</v>
      </c>
      <c r="W28" s="1" t="s">
        <v>77</v>
      </c>
      <c r="X28" s="1" t="s">
        <v>191</v>
      </c>
      <c r="Y28" s="1" t="s">
        <v>191</v>
      </c>
      <c r="Z28" s="1" t="s">
        <v>191</v>
      </c>
      <c r="AA28" s="13">
        <v>26</v>
      </c>
      <c r="AB28" s="13" t="s">
        <v>79</v>
      </c>
      <c r="AC28" s="13" t="s">
        <v>80</v>
      </c>
      <c r="AD28" s="3">
        <v>4.125</v>
      </c>
      <c r="AE28" s="3">
        <v>8</v>
      </c>
      <c r="AF28" s="3">
        <v>1.959</v>
      </c>
      <c r="AG28" s="4">
        <v>1.389</v>
      </c>
      <c r="AH28" s="3">
        <v>18</v>
      </c>
      <c r="AI28" s="3">
        <v>1.501</v>
      </c>
      <c r="BH28" s="9" t="s">
        <v>82</v>
      </c>
      <c r="BI28" s="9" t="s">
        <v>82</v>
      </c>
      <c r="BJ28" s="10" t="str">
        <f t="shared" si="2"/>
        <v>temperate</v>
      </c>
      <c r="BK28" s="11" t="s">
        <v>137</v>
      </c>
    </row>
    <row r="29" ht="28.5" spans="1:63">
      <c r="A29">
        <v>28</v>
      </c>
      <c r="B29" t="s">
        <v>221</v>
      </c>
      <c r="C29" t="s">
        <v>222</v>
      </c>
      <c r="D29" t="s">
        <v>223</v>
      </c>
      <c r="E29" t="s">
        <v>224</v>
      </c>
      <c r="F29">
        <v>2024</v>
      </c>
      <c r="G29" s="12" t="s">
        <v>225</v>
      </c>
      <c r="H29" t="s">
        <v>68</v>
      </c>
      <c r="I29">
        <v>40.136</v>
      </c>
      <c r="J29">
        <v>116.405</v>
      </c>
      <c r="K29">
        <v>21</v>
      </c>
      <c r="L29" t="s">
        <v>69</v>
      </c>
      <c r="M29" t="str">
        <f t="shared" si="0"/>
        <v>Group D</v>
      </c>
      <c r="N29" t="s">
        <v>70</v>
      </c>
      <c r="O29" t="s">
        <v>71</v>
      </c>
      <c r="P29" t="s">
        <v>72</v>
      </c>
      <c r="Q29" t="s">
        <v>72</v>
      </c>
      <c r="R29" t="s">
        <v>72</v>
      </c>
      <c r="S29" t="s">
        <v>73</v>
      </c>
      <c r="T29" t="s">
        <v>74</v>
      </c>
      <c r="U29" t="s">
        <v>90</v>
      </c>
      <c r="V29" s="1" t="s">
        <v>226</v>
      </c>
      <c r="X29" s="1" t="s">
        <v>227</v>
      </c>
      <c r="Y29" s="1" t="s">
        <v>227</v>
      </c>
      <c r="Z29" s="1" t="s">
        <v>227</v>
      </c>
      <c r="AA29" s="13">
        <v>70.5</v>
      </c>
      <c r="AB29" s="13" t="s">
        <v>119</v>
      </c>
      <c r="AC29" s="13" t="s">
        <v>94</v>
      </c>
      <c r="AD29" s="3">
        <v>41.139</v>
      </c>
      <c r="AE29" s="3">
        <v>6</v>
      </c>
      <c r="AF29" s="3">
        <v>15.806</v>
      </c>
      <c r="AG29" s="4">
        <v>32.044</v>
      </c>
      <c r="AH29" s="3">
        <v>7</v>
      </c>
      <c r="AI29" s="3">
        <v>14.407</v>
      </c>
      <c r="AJ29" s="5" t="s">
        <v>81</v>
      </c>
      <c r="AK29" s="14">
        <v>4.705</v>
      </c>
      <c r="AL29" s="14">
        <v>6</v>
      </c>
      <c r="AM29" s="14">
        <v>0.364</v>
      </c>
      <c r="AN29" s="14">
        <v>4.254</v>
      </c>
      <c r="AO29" s="14">
        <v>7</v>
      </c>
      <c r="AP29" s="14">
        <v>0.922</v>
      </c>
      <c r="AQ29" s="7">
        <v>4</v>
      </c>
      <c r="AR29" s="15" t="s">
        <v>228</v>
      </c>
      <c r="AS29" s="15" t="s">
        <v>229</v>
      </c>
      <c r="AT29" s="7" t="s">
        <v>97</v>
      </c>
      <c r="AU29" s="7">
        <v>0.445395</v>
      </c>
      <c r="AV29" s="7">
        <v>21</v>
      </c>
      <c r="AW29" s="7">
        <v>0.179974</v>
      </c>
      <c r="AX29" s="7">
        <v>0.431526</v>
      </c>
      <c r="AY29" s="7">
        <v>15</v>
      </c>
      <c r="AZ29" s="7">
        <v>0.169223</v>
      </c>
      <c r="BA29" s="7">
        <v>0.39726</v>
      </c>
      <c r="BB29" s="7">
        <v>42</v>
      </c>
      <c r="BC29" s="7">
        <v>0.211419</v>
      </c>
      <c r="BD29" s="29" t="s">
        <v>98</v>
      </c>
      <c r="BE29" s="8" t="s">
        <v>99</v>
      </c>
      <c r="BH29" s="9" t="s">
        <v>82</v>
      </c>
      <c r="BI29" s="9" t="s">
        <v>82</v>
      </c>
      <c r="BJ29" s="10" t="str">
        <f t="shared" si="2"/>
        <v>temperate</v>
      </c>
      <c r="BK29" s="11" t="s">
        <v>127</v>
      </c>
    </row>
    <row r="30" ht="28.5" spans="1:63">
      <c r="A30">
        <v>29</v>
      </c>
      <c r="B30" t="s">
        <v>221</v>
      </c>
      <c r="C30" t="s">
        <v>222</v>
      </c>
      <c r="D30" t="s">
        <v>223</v>
      </c>
      <c r="E30" t="s">
        <v>224</v>
      </c>
      <c r="F30">
        <v>2024</v>
      </c>
      <c r="G30" s="12" t="s">
        <v>225</v>
      </c>
      <c r="H30" t="s">
        <v>68</v>
      </c>
      <c r="I30">
        <v>40.136</v>
      </c>
      <c r="J30">
        <v>116.405</v>
      </c>
      <c r="K30">
        <v>21</v>
      </c>
      <c r="L30" t="s">
        <v>69</v>
      </c>
      <c r="M30" t="str">
        <f t="shared" si="0"/>
        <v>Group D</v>
      </c>
      <c r="N30" t="s">
        <v>70</v>
      </c>
      <c r="O30" t="s">
        <v>71</v>
      </c>
      <c r="P30" t="s">
        <v>72</v>
      </c>
      <c r="Q30" t="s">
        <v>72</v>
      </c>
      <c r="R30" t="s">
        <v>72</v>
      </c>
      <c r="S30" t="s">
        <v>73</v>
      </c>
      <c r="T30" t="s">
        <v>74</v>
      </c>
      <c r="U30" t="s">
        <v>90</v>
      </c>
      <c r="V30" s="1" t="s">
        <v>230</v>
      </c>
      <c r="X30" s="1" t="s">
        <v>92</v>
      </c>
      <c r="Y30" s="1" t="s">
        <v>92</v>
      </c>
      <c r="Z30" s="1" t="s">
        <v>92</v>
      </c>
      <c r="AA30" s="13">
        <v>70.5</v>
      </c>
      <c r="AB30" s="13" t="s">
        <v>119</v>
      </c>
      <c r="AC30" s="13" t="s">
        <v>94</v>
      </c>
      <c r="AD30" s="3">
        <v>23.617</v>
      </c>
      <c r="AE30" s="3">
        <v>6</v>
      </c>
      <c r="AF30" s="3">
        <v>16.853</v>
      </c>
      <c r="AG30" s="4">
        <v>38.657</v>
      </c>
      <c r="AH30" s="3">
        <v>7</v>
      </c>
      <c r="AI30" s="3">
        <v>12.653</v>
      </c>
      <c r="AJ30" s="5" t="s">
        <v>81</v>
      </c>
      <c r="AK30" s="14">
        <v>3.658</v>
      </c>
      <c r="AL30" s="14">
        <v>6</v>
      </c>
      <c r="AM30" s="14">
        <v>0.827</v>
      </c>
      <c r="AN30" s="14">
        <v>4.562</v>
      </c>
      <c r="AO30" s="14">
        <v>7</v>
      </c>
      <c r="AP30" s="14">
        <v>0.529</v>
      </c>
      <c r="AQ30" s="7">
        <v>5</v>
      </c>
      <c r="AR30" s="15" t="s">
        <v>228</v>
      </c>
      <c r="AS30" s="15" t="s">
        <v>229</v>
      </c>
      <c r="AT30" s="7" t="s">
        <v>97</v>
      </c>
      <c r="AU30" s="7">
        <v>0.331737</v>
      </c>
      <c r="AV30" s="7">
        <v>21</v>
      </c>
      <c r="AW30" s="7">
        <v>0.156891</v>
      </c>
      <c r="AX30" s="7">
        <v>0.33618</v>
      </c>
      <c r="AY30" s="7">
        <v>15</v>
      </c>
      <c r="AZ30" s="7">
        <v>0.219613</v>
      </c>
      <c r="BA30" s="7">
        <v>0.431494</v>
      </c>
      <c r="BB30" s="7">
        <v>42</v>
      </c>
      <c r="BC30" s="7">
        <v>0.178545</v>
      </c>
      <c r="BD30" s="29" t="s">
        <v>98</v>
      </c>
      <c r="BE30" s="8" t="s">
        <v>99</v>
      </c>
      <c r="BF30"/>
      <c r="BH30" s="9" t="s">
        <v>82</v>
      </c>
      <c r="BI30" s="9" t="s">
        <v>82</v>
      </c>
      <c r="BJ30" s="10" t="str">
        <f t="shared" si="2"/>
        <v>temperate</v>
      </c>
      <c r="BK30" s="11" t="s">
        <v>127</v>
      </c>
    </row>
    <row r="31" ht="28.5" spans="1:63">
      <c r="A31">
        <v>30</v>
      </c>
      <c r="B31" t="s">
        <v>221</v>
      </c>
      <c r="C31" t="s">
        <v>222</v>
      </c>
      <c r="D31" t="s">
        <v>223</v>
      </c>
      <c r="E31" t="s">
        <v>224</v>
      </c>
      <c r="F31">
        <v>2024</v>
      </c>
      <c r="G31" s="12" t="s">
        <v>225</v>
      </c>
      <c r="H31" t="s">
        <v>68</v>
      </c>
      <c r="I31">
        <v>40.136</v>
      </c>
      <c r="J31">
        <v>116.405</v>
      </c>
      <c r="K31">
        <v>21</v>
      </c>
      <c r="L31" t="s">
        <v>69</v>
      </c>
      <c r="M31" t="str">
        <f t="shared" si="0"/>
        <v>Group D</v>
      </c>
      <c r="N31" t="s">
        <v>70</v>
      </c>
      <c r="O31" t="s">
        <v>71</v>
      </c>
      <c r="P31" t="s">
        <v>72</v>
      </c>
      <c r="Q31" t="s">
        <v>72</v>
      </c>
      <c r="R31" t="s">
        <v>72</v>
      </c>
      <c r="S31" t="s">
        <v>73</v>
      </c>
      <c r="T31" t="s">
        <v>74</v>
      </c>
      <c r="U31" t="s">
        <v>90</v>
      </c>
      <c r="V31" s="1" t="s">
        <v>231</v>
      </c>
      <c r="X31" s="1" t="s">
        <v>92</v>
      </c>
      <c r="Y31" s="1" t="s">
        <v>92</v>
      </c>
      <c r="Z31" s="1" t="s">
        <v>92</v>
      </c>
      <c r="AA31" s="13">
        <v>70.5</v>
      </c>
      <c r="AB31" s="13" t="s">
        <v>119</v>
      </c>
      <c r="AC31" s="13" t="s">
        <v>94</v>
      </c>
      <c r="AD31" s="3">
        <v>107.548</v>
      </c>
      <c r="AE31" s="3">
        <v>6</v>
      </c>
      <c r="AF31" s="3">
        <v>26.955</v>
      </c>
      <c r="AG31" s="4">
        <v>108.783</v>
      </c>
      <c r="AH31" s="3">
        <v>7</v>
      </c>
      <c r="AI31" s="3">
        <v>24.394</v>
      </c>
      <c r="AJ31" s="5" t="s">
        <v>81</v>
      </c>
      <c r="AK31" s="14">
        <v>5.307</v>
      </c>
      <c r="AL31" s="14">
        <v>6</v>
      </c>
      <c r="AM31" s="14">
        <v>0.266</v>
      </c>
      <c r="AN31" s="14">
        <v>5.252</v>
      </c>
      <c r="AO31" s="14">
        <v>7</v>
      </c>
      <c r="AP31" s="14">
        <v>0.271</v>
      </c>
      <c r="AQ31" s="7">
        <v>6</v>
      </c>
      <c r="AR31" s="15" t="s">
        <v>228</v>
      </c>
      <c r="AS31" s="15" t="s">
        <v>229</v>
      </c>
      <c r="AT31" s="7" t="s">
        <v>97</v>
      </c>
      <c r="AU31" s="7">
        <v>0.190858</v>
      </c>
      <c r="AV31" s="7">
        <v>21</v>
      </c>
      <c r="AW31" s="7">
        <v>0.085601</v>
      </c>
      <c r="AX31" s="7">
        <v>0.465366</v>
      </c>
      <c r="AY31" s="7">
        <v>15</v>
      </c>
      <c r="AZ31" s="7">
        <v>0.239589</v>
      </c>
      <c r="BA31" s="7">
        <v>0.50045</v>
      </c>
      <c r="BB31" s="7">
        <v>42</v>
      </c>
      <c r="BC31" s="7">
        <v>0.180727</v>
      </c>
      <c r="BD31" s="29" t="s">
        <v>98</v>
      </c>
      <c r="BE31" s="8" t="s">
        <v>99</v>
      </c>
      <c r="BF31"/>
      <c r="BH31" s="9" t="s">
        <v>82</v>
      </c>
      <c r="BI31" s="9" t="s">
        <v>82</v>
      </c>
      <c r="BJ31" s="10" t="str">
        <f t="shared" si="2"/>
        <v>temperate</v>
      </c>
      <c r="BK31" s="11" t="s">
        <v>127</v>
      </c>
    </row>
    <row r="32" ht="28.5" spans="1:63">
      <c r="A32">
        <v>31</v>
      </c>
      <c r="B32" t="s">
        <v>221</v>
      </c>
      <c r="C32" t="s">
        <v>222</v>
      </c>
      <c r="D32" t="s">
        <v>223</v>
      </c>
      <c r="E32" t="s">
        <v>224</v>
      </c>
      <c r="F32">
        <v>2024</v>
      </c>
      <c r="G32" s="12" t="s">
        <v>225</v>
      </c>
      <c r="H32" t="s">
        <v>68</v>
      </c>
      <c r="I32">
        <v>40.136</v>
      </c>
      <c r="J32">
        <v>116.405</v>
      </c>
      <c r="K32">
        <v>21</v>
      </c>
      <c r="L32" t="s">
        <v>69</v>
      </c>
      <c r="M32" t="str">
        <f t="shared" si="0"/>
        <v>Group D</v>
      </c>
      <c r="N32" t="s">
        <v>70</v>
      </c>
      <c r="O32" t="s">
        <v>71</v>
      </c>
      <c r="P32" t="s">
        <v>72</v>
      </c>
      <c r="Q32" t="s">
        <v>72</v>
      </c>
      <c r="R32" t="s">
        <v>72</v>
      </c>
      <c r="S32" t="s">
        <v>73</v>
      </c>
      <c r="T32" t="s">
        <v>74</v>
      </c>
      <c r="U32" t="s">
        <v>90</v>
      </c>
      <c r="V32" s="1" t="s">
        <v>226</v>
      </c>
      <c r="X32" s="1" t="s">
        <v>227</v>
      </c>
      <c r="Y32" s="1" t="s">
        <v>227</v>
      </c>
      <c r="Z32" s="1" t="s">
        <v>227</v>
      </c>
      <c r="AA32" s="13">
        <v>70.5</v>
      </c>
      <c r="AB32" s="13" t="s">
        <v>119</v>
      </c>
      <c r="AC32" s="13" t="s">
        <v>94</v>
      </c>
      <c r="AD32" s="3">
        <v>38.9</v>
      </c>
      <c r="AE32" s="3">
        <v>6</v>
      </c>
      <c r="AF32" s="3">
        <v>7.98</v>
      </c>
      <c r="AG32" s="4">
        <v>39.69</v>
      </c>
      <c r="AH32" s="3">
        <v>7</v>
      </c>
      <c r="AI32" s="3">
        <v>9.37</v>
      </c>
      <c r="AJ32" s="5" t="s">
        <v>81</v>
      </c>
      <c r="AK32" s="14">
        <v>4.606</v>
      </c>
      <c r="AL32" s="14">
        <v>6</v>
      </c>
      <c r="AM32" s="14">
        <v>0.151</v>
      </c>
      <c r="AN32" s="14">
        <v>4.577</v>
      </c>
      <c r="AO32" s="14">
        <v>7</v>
      </c>
      <c r="AP32" s="14">
        <v>0.516</v>
      </c>
      <c r="AQ32" s="7">
        <v>7</v>
      </c>
      <c r="AR32" s="15" t="s">
        <v>228</v>
      </c>
      <c r="AS32" s="15" t="s">
        <v>229</v>
      </c>
      <c r="AT32" s="7" t="s">
        <v>97</v>
      </c>
      <c r="AU32" s="7">
        <v>0.443969</v>
      </c>
      <c r="AV32" s="7">
        <v>21</v>
      </c>
      <c r="AW32" s="7">
        <v>0.179859</v>
      </c>
      <c r="AX32" s="7">
        <v>0.429379</v>
      </c>
      <c r="AY32" s="7">
        <v>15</v>
      </c>
      <c r="AZ32" s="7">
        <v>0.16833</v>
      </c>
      <c r="BA32" s="7">
        <v>0.395373</v>
      </c>
      <c r="BB32" s="7">
        <v>42</v>
      </c>
      <c r="BC32" s="7">
        <v>0.21085</v>
      </c>
      <c r="BD32" s="29" t="s">
        <v>98</v>
      </c>
      <c r="BE32" s="8" t="s">
        <v>102</v>
      </c>
      <c r="BF32"/>
      <c r="BH32" s="9" t="s">
        <v>82</v>
      </c>
      <c r="BI32" s="9" t="s">
        <v>82</v>
      </c>
      <c r="BJ32" s="10" t="str">
        <f t="shared" si="2"/>
        <v>temperate</v>
      </c>
      <c r="BK32" s="11" t="s">
        <v>127</v>
      </c>
    </row>
    <row r="33" ht="28.5" spans="1:63">
      <c r="A33">
        <v>32</v>
      </c>
      <c r="B33" t="s">
        <v>221</v>
      </c>
      <c r="C33" t="s">
        <v>222</v>
      </c>
      <c r="D33" t="s">
        <v>223</v>
      </c>
      <c r="E33" t="s">
        <v>224</v>
      </c>
      <c r="F33">
        <v>2024</v>
      </c>
      <c r="G33" s="12" t="s">
        <v>225</v>
      </c>
      <c r="H33" t="s">
        <v>68</v>
      </c>
      <c r="I33">
        <v>40.136</v>
      </c>
      <c r="J33">
        <v>116.405</v>
      </c>
      <c r="K33">
        <v>21</v>
      </c>
      <c r="L33" t="s">
        <v>69</v>
      </c>
      <c r="M33" t="str">
        <f t="shared" si="0"/>
        <v>Group D</v>
      </c>
      <c r="N33" t="s">
        <v>70</v>
      </c>
      <c r="O33" t="s">
        <v>71</v>
      </c>
      <c r="P33" t="s">
        <v>72</v>
      </c>
      <c r="Q33" t="s">
        <v>72</v>
      </c>
      <c r="R33" t="s">
        <v>72</v>
      </c>
      <c r="S33" t="s">
        <v>73</v>
      </c>
      <c r="T33" t="s">
        <v>74</v>
      </c>
      <c r="U33" t="s">
        <v>90</v>
      </c>
      <c r="V33" s="1" t="s">
        <v>230</v>
      </c>
      <c r="X33" s="1" t="s">
        <v>92</v>
      </c>
      <c r="Y33" s="1" t="s">
        <v>92</v>
      </c>
      <c r="Z33" s="1" t="s">
        <v>92</v>
      </c>
      <c r="AA33" s="13">
        <v>70.5</v>
      </c>
      <c r="AB33" s="13" t="s">
        <v>119</v>
      </c>
      <c r="AC33" s="13" t="s">
        <v>94</v>
      </c>
      <c r="AD33" s="3">
        <v>31.119</v>
      </c>
      <c r="AE33" s="3">
        <v>6</v>
      </c>
      <c r="AF33" s="3">
        <v>6.958</v>
      </c>
      <c r="AG33" s="4">
        <v>48.122</v>
      </c>
      <c r="AH33" s="3">
        <v>7</v>
      </c>
      <c r="AI33" s="3">
        <v>16.206</v>
      </c>
      <c r="AJ33" s="5" t="s">
        <v>81</v>
      </c>
      <c r="AK33" s="14">
        <v>4.041</v>
      </c>
      <c r="AL33" s="14">
        <v>6</v>
      </c>
      <c r="AM33" s="14">
        <v>0.404</v>
      </c>
      <c r="AN33" s="14">
        <v>4.71</v>
      </c>
      <c r="AO33" s="14">
        <v>7</v>
      </c>
      <c r="AP33" s="14">
        <v>0.734</v>
      </c>
      <c r="AQ33" s="7">
        <v>48</v>
      </c>
      <c r="AR33" s="15" t="s">
        <v>228</v>
      </c>
      <c r="AS33" s="15" t="s">
        <v>229</v>
      </c>
      <c r="AT33" s="7" t="s">
        <v>97</v>
      </c>
      <c r="AU33" s="7">
        <v>0.329865</v>
      </c>
      <c r="AV33" s="7">
        <v>21</v>
      </c>
      <c r="AW33" s="7">
        <v>0.155015</v>
      </c>
      <c r="AX33" s="7">
        <v>0.333891</v>
      </c>
      <c r="AY33" s="7">
        <v>15</v>
      </c>
      <c r="AZ33" s="7">
        <v>0.218739</v>
      </c>
      <c r="BA33" s="7">
        <v>0.429873</v>
      </c>
      <c r="BB33" s="7">
        <v>42</v>
      </c>
      <c r="BC33" s="7">
        <v>0.176748</v>
      </c>
      <c r="BD33" s="29" t="s">
        <v>98</v>
      </c>
      <c r="BE33" s="8" t="s">
        <v>102</v>
      </c>
      <c r="BF33"/>
      <c r="BH33" s="9" t="s">
        <v>82</v>
      </c>
      <c r="BI33" s="9" t="s">
        <v>82</v>
      </c>
      <c r="BJ33" s="10" t="str">
        <f t="shared" si="2"/>
        <v>temperate</v>
      </c>
      <c r="BK33" s="11" t="s">
        <v>127</v>
      </c>
    </row>
    <row r="34" ht="28.5" spans="1:63">
      <c r="A34">
        <v>33</v>
      </c>
      <c r="B34" t="s">
        <v>221</v>
      </c>
      <c r="C34" t="s">
        <v>222</v>
      </c>
      <c r="D34" t="s">
        <v>223</v>
      </c>
      <c r="E34" t="s">
        <v>224</v>
      </c>
      <c r="F34">
        <v>2024</v>
      </c>
      <c r="G34" s="12" t="s">
        <v>225</v>
      </c>
      <c r="H34" t="s">
        <v>68</v>
      </c>
      <c r="I34">
        <v>40.136</v>
      </c>
      <c r="J34">
        <v>116.405</v>
      </c>
      <c r="K34">
        <v>21</v>
      </c>
      <c r="L34" t="s">
        <v>69</v>
      </c>
      <c r="M34" t="str">
        <f t="shared" si="0"/>
        <v>Group D</v>
      </c>
      <c r="N34" t="s">
        <v>70</v>
      </c>
      <c r="O34" t="s">
        <v>71</v>
      </c>
      <c r="P34" t="s">
        <v>72</v>
      </c>
      <c r="Q34" t="s">
        <v>72</v>
      </c>
      <c r="R34" t="s">
        <v>72</v>
      </c>
      <c r="S34" t="s">
        <v>73</v>
      </c>
      <c r="T34" t="s">
        <v>74</v>
      </c>
      <c r="U34" t="s">
        <v>90</v>
      </c>
      <c r="V34" s="1" t="s">
        <v>231</v>
      </c>
      <c r="X34" s="1" t="s">
        <v>92</v>
      </c>
      <c r="Y34" s="1" t="s">
        <v>92</v>
      </c>
      <c r="Z34" s="1" t="s">
        <v>92</v>
      </c>
      <c r="AA34" s="13">
        <v>70.5</v>
      </c>
      <c r="AB34" s="13" t="s">
        <v>119</v>
      </c>
      <c r="AC34" s="13" t="s">
        <v>94</v>
      </c>
      <c r="AD34" s="3">
        <v>123.04</v>
      </c>
      <c r="AE34" s="3">
        <v>6</v>
      </c>
      <c r="AF34" s="3">
        <v>19.76</v>
      </c>
      <c r="AG34" s="4">
        <v>122.072</v>
      </c>
      <c r="AH34" s="3">
        <v>7</v>
      </c>
      <c r="AI34" s="3">
        <v>44.585</v>
      </c>
      <c r="AJ34" s="5" t="s">
        <v>81</v>
      </c>
      <c r="AK34" s="14">
        <v>5.593</v>
      </c>
      <c r="AL34" s="14">
        <v>6</v>
      </c>
      <c r="AM34" s="14">
        <v>0.496</v>
      </c>
      <c r="AN34" s="14">
        <v>5.263</v>
      </c>
      <c r="AO34" s="14">
        <v>7</v>
      </c>
      <c r="AP34" s="14">
        <v>0.402</v>
      </c>
      <c r="AQ34" s="7">
        <v>49</v>
      </c>
      <c r="AR34" s="15" t="s">
        <v>228</v>
      </c>
      <c r="AS34" s="15" t="s">
        <v>229</v>
      </c>
      <c r="AT34" s="7" t="s">
        <v>97</v>
      </c>
      <c r="AU34" s="7">
        <v>0.190673</v>
      </c>
      <c r="AV34" s="7">
        <v>21</v>
      </c>
      <c r="AW34" s="7">
        <v>0.08509</v>
      </c>
      <c r="AX34" s="7">
        <v>0.46477</v>
      </c>
      <c r="AY34" s="7">
        <v>15</v>
      </c>
      <c r="AZ34" s="7">
        <v>0.237428</v>
      </c>
      <c r="BA34" s="7">
        <v>0.500892</v>
      </c>
      <c r="BB34" s="7">
        <v>42</v>
      </c>
      <c r="BC34" s="7">
        <v>0.180517</v>
      </c>
      <c r="BD34" s="29" t="s">
        <v>98</v>
      </c>
      <c r="BE34" s="8" t="s">
        <v>102</v>
      </c>
      <c r="BF34"/>
      <c r="BH34" s="9" t="s">
        <v>82</v>
      </c>
      <c r="BI34" s="9" t="s">
        <v>82</v>
      </c>
      <c r="BJ34" s="10" t="str">
        <f t="shared" si="2"/>
        <v>temperate</v>
      </c>
      <c r="BK34" s="11" t="s">
        <v>127</v>
      </c>
    </row>
    <row r="35" ht="57" spans="1:63">
      <c r="A35">
        <v>34</v>
      </c>
      <c r="B35" t="s">
        <v>232</v>
      </c>
      <c r="C35" t="s">
        <v>233</v>
      </c>
      <c r="D35" t="s">
        <v>234</v>
      </c>
      <c r="E35" t="s">
        <v>235</v>
      </c>
      <c r="F35">
        <v>2024</v>
      </c>
      <c r="G35" s="12" t="s">
        <v>236</v>
      </c>
      <c r="H35" t="s">
        <v>237</v>
      </c>
      <c r="I35">
        <v>51.7593</v>
      </c>
      <c r="J35">
        <v>19.4559</v>
      </c>
      <c r="K35">
        <v>26</v>
      </c>
      <c r="L35" t="s">
        <v>181</v>
      </c>
      <c r="M35" t="str">
        <f t="shared" si="0"/>
        <v>Group D</v>
      </c>
      <c r="N35" t="s">
        <v>182</v>
      </c>
      <c r="O35" t="s">
        <v>183</v>
      </c>
      <c r="P35" t="s">
        <v>72</v>
      </c>
      <c r="Q35" t="s">
        <v>72</v>
      </c>
      <c r="R35" t="s">
        <v>72</v>
      </c>
      <c r="S35" t="s">
        <v>73</v>
      </c>
      <c r="T35" t="s">
        <v>74</v>
      </c>
      <c r="U35" t="s">
        <v>90</v>
      </c>
      <c r="V35" s="1" t="s">
        <v>238</v>
      </c>
      <c r="W35" s="1" t="s">
        <v>239</v>
      </c>
      <c r="X35" s="1" t="s">
        <v>240</v>
      </c>
      <c r="Y35" s="1" t="s">
        <v>241</v>
      </c>
      <c r="Z35" s="1" t="s">
        <v>241</v>
      </c>
      <c r="AA35" s="13">
        <v>29.5</v>
      </c>
      <c r="AB35" s="13" t="s">
        <v>79</v>
      </c>
      <c r="AC35" s="13" t="s">
        <v>80</v>
      </c>
      <c r="AD35" s="3">
        <v>45.417</v>
      </c>
      <c r="AE35" s="3">
        <v>12</v>
      </c>
      <c r="AF35" s="3">
        <v>11.389</v>
      </c>
      <c r="AG35" s="4">
        <v>37</v>
      </c>
      <c r="AH35" s="3">
        <v>17</v>
      </c>
      <c r="AI35" s="3">
        <v>13.426</v>
      </c>
      <c r="AJ35" s="5" t="s">
        <v>81</v>
      </c>
      <c r="AK35" s="6">
        <v>3.244</v>
      </c>
      <c r="AL35" s="6">
        <v>12</v>
      </c>
      <c r="AM35" s="6">
        <v>0.435</v>
      </c>
      <c r="AN35" s="6">
        <v>2.611</v>
      </c>
      <c r="AO35" s="6">
        <v>17</v>
      </c>
      <c r="AP35" s="6">
        <v>0.438</v>
      </c>
      <c r="BH35" s="9" t="s">
        <v>82</v>
      </c>
      <c r="BI35" s="9" t="s">
        <v>82</v>
      </c>
      <c r="BJ35" s="10" t="str">
        <f t="shared" si="2"/>
        <v>temperate</v>
      </c>
      <c r="BK35" s="11" t="s">
        <v>164</v>
      </c>
    </row>
    <row r="36" ht="28.5" spans="1:63">
      <c r="A36">
        <v>35</v>
      </c>
      <c r="B36" t="s">
        <v>242</v>
      </c>
      <c r="C36" t="s">
        <v>243</v>
      </c>
      <c r="D36" t="s">
        <v>244</v>
      </c>
      <c r="E36" t="s">
        <v>245</v>
      </c>
      <c r="F36">
        <v>2023</v>
      </c>
      <c r="G36" s="12" t="s">
        <v>246</v>
      </c>
      <c r="H36" t="s">
        <v>68</v>
      </c>
      <c r="I36">
        <v>24.8797</v>
      </c>
      <c r="J36">
        <v>102.8332</v>
      </c>
      <c r="K36">
        <v>12</v>
      </c>
      <c r="L36" t="s">
        <v>247</v>
      </c>
      <c r="M36" t="str">
        <f t="shared" ref="M36:M60" si="3">"Group "&amp;LEFT(L36,1)</f>
        <v>Group C</v>
      </c>
      <c r="N36" t="s">
        <v>70</v>
      </c>
      <c r="O36" t="s">
        <v>71</v>
      </c>
      <c r="P36" t="s">
        <v>72</v>
      </c>
      <c r="Q36" t="s">
        <v>72</v>
      </c>
      <c r="R36" t="s">
        <v>72</v>
      </c>
      <c r="S36" t="s">
        <v>73</v>
      </c>
      <c r="T36" t="s">
        <v>74</v>
      </c>
      <c r="U36" t="s">
        <v>75</v>
      </c>
      <c r="V36" s="1" t="s">
        <v>76</v>
      </c>
      <c r="X36" s="1" t="s">
        <v>76</v>
      </c>
      <c r="Y36" s="1" t="s">
        <v>76</v>
      </c>
      <c r="Z36" s="1" t="s">
        <v>78</v>
      </c>
      <c r="AA36" s="13">
        <v>26</v>
      </c>
      <c r="AB36" s="13" t="s">
        <v>79</v>
      </c>
      <c r="AC36" s="13" t="s">
        <v>80</v>
      </c>
      <c r="AD36" s="3">
        <v>12.633</v>
      </c>
      <c r="AE36" s="3">
        <v>13</v>
      </c>
      <c r="AF36" s="3">
        <v>4.149</v>
      </c>
      <c r="AG36" s="4">
        <v>9.561</v>
      </c>
      <c r="AH36" s="3">
        <v>7</v>
      </c>
      <c r="AI36" s="3">
        <v>1.608</v>
      </c>
      <c r="AK36" s="6"/>
      <c r="AL36" s="6"/>
      <c r="AM36" s="6"/>
      <c r="AN36" s="6"/>
      <c r="AO36" s="6"/>
      <c r="AP36" s="6"/>
      <c r="BE36" s="8" t="s">
        <v>248</v>
      </c>
      <c r="BK36" s="11" t="s">
        <v>83</v>
      </c>
    </row>
    <row r="37" ht="28.5" spans="1:63">
      <c r="A37">
        <v>36</v>
      </c>
      <c r="B37" t="s">
        <v>242</v>
      </c>
      <c r="C37" t="s">
        <v>243</v>
      </c>
      <c r="D37" t="s">
        <v>244</v>
      </c>
      <c r="E37" t="s">
        <v>245</v>
      </c>
      <c r="F37">
        <v>2023</v>
      </c>
      <c r="G37" s="12" t="s">
        <v>246</v>
      </c>
      <c r="H37" t="s">
        <v>68</v>
      </c>
      <c r="I37">
        <v>24.8797</v>
      </c>
      <c r="J37">
        <v>102.8332</v>
      </c>
      <c r="K37">
        <v>12</v>
      </c>
      <c r="L37" t="s">
        <v>247</v>
      </c>
      <c r="M37" t="str">
        <f t="shared" si="3"/>
        <v>Group C</v>
      </c>
      <c r="N37" t="s">
        <v>70</v>
      </c>
      <c r="O37" t="s">
        <v>71</v>
      </c>
      <c r="P37" t="s">
        <v>72</v>
      </c>
      <c r="Q37" t="s">
        <v>72</v>
      </c>
      <c r="R37" t="s">
        <v>72</v>
      </c>
      <c r="S37" t="s">
        <v>73</v>
      </c>
      <c r="T37" t="s">
        <v>74</v>
      </c>
      <c r="U37" t="s">
        <v>75</v>
      </c>
      <c r="V37" s="1" t="s">
        <v>76</v>
      </c>
      <c r="X37" s="1" t="s">
        <v>76</v>
      </c>
      <c r="Y37" s="1" t="s">
        <v>76</v>
      </c>
      <c r="Z37" s="1" t="s">
        <v>78</v>
      </c>
      <c r="AA37" s="13">
        <v>26</v>
      </c>
      <c r="AB37" s="13" t="s">
        <v>79</v>
      </c>
      <c r="AC37" s="13" t="s">
        <v>80</v>
      </c>
      <c r="AD37" s="3">
        <v>16.271</v>
      </c>
      <c r="AE37" s="3">
        <v>13</v>
      </c>
      <c r="AF37" s="3">
        <v>6.547</v>
      </c>
      <c r="AG37" s="4">
        <v>9.373</v>
      </c>
      <c r="AH37" s="3">
        <v>7</v>
      </c>
      <c r="AI37" s="3">
        <v>6.007</v>
      </c>
      <c r="AK37" s="6"/>
      <c r="AL37" s="6"/>
      <c r="AM37" s="6"/>
      <c r="AN37" s="6"/>
      <c r="AO37" s="6"/>
      <c r="AP37" s="6"/>
      <c r="BE37" s="8" t="s">
        <v>249</v>
      </c>
      <c r="BK37" s="11" t="s">
        <v>83</v>
      </c>
    </row>
    <row r="38" ht="28.5" spans="1:63">
      <c r="A38">
        <v>37</v>
      </c>
      <c r="B38" t="s">
        <v>250</v>
      </c>
      <c r="C38" t="s">
        <v>251</v>
      </c>
      <c r="D38" t="s">
        <v>252</v>
      </c>
      <c r="E38" t="s">
        <v>253</v>
      </c>
      <c r="F38">
        <v>2023</v>
      </c>
      <c r="G38" s="12" t="s">
        <v>254</v>
      </c>
      <c r="H38" t="s">
        <v>255</v>
      </c>
      <c r="I38">
        <v>18.0119</v>
      </c>
      <c r="J38">
        <v>-92.932</v>
      </c>
      <c r="K38">
        <v>2</v>
      </c>
      <c r="L38" t="s">
        <v>256</v>
      </c>
      <c r="M38" t="str">
        <f t="shared" si="3"/>
        <v>Group A</v>
      </c>
      <c r="N38" t="s">
        <v>70</v>
      </c>
      <c r="O38" t="s">
        <v>146</v>
      </c>
      <c r="P38" t="s">
        <v>257</v>
      </c>
      <c r="Q38" t="s">
        <v>113</v>
      </c>
      <c r="R38" t="s">
        <v>257</v>
      </c>
      <c r="S38" t="s">
        <v>258</v>
      </c>
      <c r="T38" t="s">
        <v>116</v>
      </c>
      <c r="U38" t="s">
        <v>75</v>
      </c>
      <c r="V38" s="1" t="s">
        <v>76</v>
      </c>
      <c r="X38" s="1" t="s">
        <v>76</v>
      </c>
      <c r="Y38" s="1" t="s">
        <v>76</v>
      </c>
      <c r="Z38" s="1" t="s">
        <v>78</v>
      </c>
      <c r="AA38" s="13">
        <v>2.3</v>
      </c>
      <c r="AB38" s="13" t="s">
        <v>192</v>
      </c>
      <c r="AC38" s="13" t="s">
        <v>80</v>
      </c>
      <c r="AJ38" s="5" t="s">
        <v>81</v>
      </c>
      <c r="AK38" s="6">
        <v>1.95</v>
      </c>
      <c r="AL38" s="6">
        <v>4</v>
      </c>
      <c r="AM38" s="6">
        <v>0.403</v>
      </c>
      <c r="AN38" s="6">
        <v>1.81</v>
      </c>
      <c r="AO38" s="6">
        <v>8</v>
      </c>
      <c r="AP38" s="6">
        <v>0.291</v>
      </c>
      <c r="BH38" s="9" t="s">
        <v>259</v>
      </c>
      <c r="BI38" s="9" t="s">
        <v>126</v>
      </c>
      <c r="BJ38" s="10" t="str">
        <f t="shared" ref="BJ38:BJ101" si="4">IF(ABS(I38)&lt;23.5,"tropic",IF(ABS(I38)&lt;40,"subtropic",IF(ABS(I38)&lt;60,"temperate","arctic")))</f>
        <v>tropic</v>
      </c>
      <c r="BK38" s="11" t="s">
        <v>137</v>
      </c>
    </row>
    <row r="39" ht="42.75" spans="1:63">
      <c r="A39">
        <v>38</v>
      </c>
      <c r="B39" t="s">
        <v>260</v>
      </c>
      <c r="C39" t="s">
        <v>261</v>
      </c>
      <c r="D39" t="s">
        <v>262</v>
      </c>
      <c r="E39" t="s">
        <v>263</v>
      </c>
      <c r="F39">
        <v>2023</v>
      </c>
      <c r="G39" s="12" t="s">
        <v>264</v>
      </c>
      <c r="H39" t="s">
        <v>208</v>
      </c>
      <c r="I39">
        <v>-54.8</v>
      </c>
      <c r="J39">
        <v>-68.3167</v>
      </c>
      <c r="K39">
        <v>29</v>
      </c>
      <c r="L39" t="s">
        <v>265</v>
      </c>
      <c r="M39" t="str">
        <f t="shared" si="3"/>
        <v>Group E</v>
      </c>
      <c r="N39" t="s">
        <v>70</v>
      </c>
      <c r="O39" t="s">
        <v>146</v>
      </c>
      <c r="P39" t="s">
        <v>266</v>
      </c>
      <c r="Q39" t="s">
        <v>267</v>
      </c>
      <c r="R39" t="s">
        <v>268</v>
      </c>
      <c r="S39" t="s">
        <v>269</v>
      </c>
      <c r="T39" t="s">
        <v>74</v>
      </c>
      <c r="U39" t="s">
        <v>75</v>
      </c>
      <c r="V39" s="1" t="s">
        <v>270</v>
      </c>
      <c r="W39" s="1" t="s">
        <v>77</v>
      </c>
      <c r="X39" s="1" t="s">
        <v>172</v>
      </c>
      <c r="Y39" s="1" t="s">
        <v>172</v>
      </c>
      <c r="Z39" s="1" t="s">
        <v>173</v>
      </c>
      <c r="AA39" s="13">
        <v>3.5</v>
      </c>
      <c r="AB39" s="13" t="s">
        <v>192</v>
      </c>
      <c r="AC39" s="13" t="s">
        <v>80</v>
      </c>
      <c r="AD39" s="3">
        <v>10.53</v>
      </c>
      <c r="AE39" s="3">
        <v>4</v>
      </c>
      <c r="AF39" s="3">
        <v>1.914</v>
      </c>
      <c r="AG39" s="4">
        <v>9.54</v>
      </c>
      <c r="AH39" s="3">
        <v>4</v>
      </c>
      <c r="AI39" s="3">
        <v>1.872</v>
      </c>
      <c r="AJ39" s="5" t="s">
        <v>81</v>
      </c>
      <c r="AK39" s="14">
        <v>1.57</v>
      </c>
      <c r="AL39" s="14">
        <v>4</v>
      </c>
      <c r="AM39" s="14">
        <v>0.3</v>
      </c>
      <c r="AN39" s="14">
        <v>1.601</v>
      </c>
      <c r="AO39" s="14">
        <v>4</v>
      </c>
      <c r="AP39" s="14">
        <v>0.268</v>
      </c>
      <c r="BH39" s="9" t="s">
        <v>82</v>
      </c>
      <c r="BI39" s="9" t="s">
        <v>82</v>
      </c>
      <c r="BJ39" s="10" t="str">
        <f t="shared" si="4"/>
        <v>temperate</v>
      </c>
      <c r="BK39" s="11" t="s">
        <v>164</v>
      </c>
    </row>
    <row r="40" ht="42.75" spans="1:63">
      <c r="A40">
        <v>39</v>
      </c>
      <c r="B40" t="s">
        <v>271</v>
      </c>
      <c r="C40" t="s">
        <v>272</v>
      </c>
      <c r="D40" t="s">
        <v>273</v>
      </c>
      <c r="E40" t="s">
        <v>274</v>
      </c>
      <c r="F40">
        <v>2023</v>
      </c>
      <c r="G40" s="12" t="s">
        <v>275</v>
      </c>
      <c r="H40" t="s">
        <v>276</v>
      </c>
      <c r="I40">
        <v>43.0722</v>
      </c>
      <c r="J40">
        <v>-89.4008</v>
      </c>
      <c r="K40">
        <v>25</v>
      </c>
      <c r="L40" t="s">
        <v>216</v>
      </c>
      <c r="M40" t="str">
        <f t="shared" si="3"/>
        <v>Group D</v>
      </c>
      <c r="N40" t="s">
        <v>182</v>
      </c>
      <c r="O40" t="s">
        <v>183</v>
      </c>
      <c r="P40" t="s">
        <v>277</v>
      </c>
      <c r="Q40" t="s">
        <v>278</v>
      </c>
      <c r="R40" t="s">
        <v>277</v>
      </c>
      <c r="S40" t="s">
        <v>279</v>
      </c>
      <c r="T40" t="s">
        <v>280</v>
      </c>
      <c r="U40" t="s">
        <v>75</v>
      </c>
      <c r="V40" s="1" t="s">
        <v>117</v>
      </c>
      <c r="X40" s="1" t="s">
        <v>117</v>
      </c>
      <c r="Y40" s="1" t="s">
        <v>281</v>
      </c>
      <c r="Z40" s="1" t="s">
        <v>282</v>
      </c>
      <c r="AA40" s="13">
        <v>59</v>
      </c>
      <c r="AB40" s="13" t="s">
        <v>119</v>
      </c>
      <c r="AC40" s="13" t="s">
        <v>80</v>
      </c>
      <c r="AD40" s="3">
        <v>2.227</v>
      </c>
      <c r="AE40" s="3">
        <v>22</v>
      </c>
      <c r="AF40" s="3">
        <v>1.824</v>
      </c>
      <c r="AG40" s="4">
        <v>1.706</v>
      </c>
      <c r="AH40" s="3">
        <v>17</v>
      </c>
      <c r="AI40" s="3">
        <v>1.448</v>
      </c>
      <c r="BF40" s="1" t="s">
        <v>283</v>
      </c>
      <c r="BH40" s="9" t="s">
        <v>82</v>
      </c>
      <c r="BI40" s="9" t="s">
        <v>82</v>
      </c>
      <c r="BJ40" s="10" t="str">
        <f t="shared" si="4"/>
        <v>temperate</v>
      </c>
      <c r="BK40" s="11" t="s">
        <v>127</v>
      </c>
    </row>
    <row r="41" ht="42.75" spans="1:63">
      <c r="A41">
        <v>40</v>
      </c>
      <c r="B41" t="s">
        <v>271</v>
      </c>
      <c r="C41" t="s">
        <v>272</v>
      </c>
      <c r="D41" t="s">
        <v>273</v>
      </c>
      <c r="E41" t="s">
        <v>274</v>
      </c>
      <c r="F41">
        <v>2023</v>
      </c>
      <c r="G41" s="12" t="s">
        <v>275</v>
      </c>
      <c r="H41" t="s">
        <v>276</v>
      </c>
      <c r="I41">
        <v>43.0722</v>
      </c>
      <c r="J41">
        <v>-89.4008</v>
      </c>
      <c r="K41">
        <v>25</v>
      </c>
      <c r="L41" t="s">
        <v>216</v>
      </c>
      <c r="M41" t="str">
        <f t="shared" si="3"/>
        <v>Group D</v>
      </c>
      <c r="N41" t="s">
        <v>182</v>
      </c>
      <c r="O41" t="s">
        <v>183</v>
      </c>
      <c r="P41" t="s">
        <v>277</v>
      </c>
      <c r="Q41" t="s">
        <v>278</v>
      </c>
      <c r="R41" t="s">
        <v>277</v>
      </c>
      <c r="S41" t="s">
        <v>279</v>
      </c>
      <c r="T41" t="s">
        <v>280</v>
      </c>
      <c r="U41" t="s">
        <v>75</v>
      </c>
      <c r="V41" s="1" t="s">
        <v>284</v>
      </c>
      <c r="X41" s="1" t="s">
        <v>284</v>
      </c>
      <c r="Y41" s="1" t="s">
        <v>281</v>
      </c>
      <c r="Z41" s="1" t="s">
        <v>282</v>
      </c>
      <c r="AA41" s="13">
        <v>59</v>
      </c>
      <c r="AB41" s="13" t="s">
        <v>119</v>
      </c>
      <c r="AC41" s="13" t="s">
        <v>80</v>
      </c>
      <c r="AD41" s="3">
        <v>3.864</v>
      </c>
      <c r="AE41" s="3">
        <v>22</v>
      </c>
      <c r="AF41" s="3">
        <v>1.207</v>
      </c>
      <c r="AG41" s="4">
        <v>2.588</v>
      </c>
      <c r="AH41" s="3">
        <v>17</v>
      </c>
      <c r="AI41" s="3">
        <v>1.004</v>
      </c>
      <c r="BF41" s="1" t="s">
        <v>283</v>
      </c>
      <c r="BH41" s="9" t="s">
        <v>82</v>
      </c>
      <c r="BI41" s="9" t="s">
        <v>82</v>
      </c>
      <c r="BJ41" s="10" t="str">
        <f t="shared" si="4"/>
        <v>temperate</v>
      </c>
      <c r="BK41" s="11" t="s">
        <v>127</v>
      </c>
    </row>
    <row r="42" ht="42.75" spans="1:63">
      <c r="A42">
        <v>41</v>
      </c>
      <c r="B42" t="s">
        <v>271</v>
      </c>
      <c r="C42" t="s">
        <v>272</v>
      </c>
      <c r="D42" t="s">
        <v>273</v>
      </c>
      <c r="E42" t="s">
        <v>274</v>
      </c>
      <c r="F42">
        <v>2023</v>
      </c>
      <c r="G42" s="12" t="s">
        <v>275</v>
      </c>
      <c r="H42" t="s">
        <v>276</v>
      </c>
      <c r="I42">
        <v>43.0722</v>
      </c>
      <c r="J42">
        <v>-89.4008</v>
      </c>
      <c r="K42">
        <v>25</v>
      </c>
      <c r="L42" t="s">
        <v>216</v>
      </c>
      <c r="M42" t="str">
        <f t="shared" si="3"/>
        <v>Group D</v>
      </c>
      <c r="N42" t="s">
        <v>182</v>
      </c>
      <c r="O42" t="s">
        <v>183</v>
      </c>
      <c r="P42" t="s">
        <v>277</v>
      </c>
      <c r="Q42" t="s">
        <v>278</v>
      </c>
      <c r="R42" t="s">
        <v>277</v>
      </c>
      <c r="S42" t="s">
        <v>279</v>
      </c>
      <c r="T42" t="s">
        <v>280</v>
      </c>
      <c r="U42" t="s">
        <v>75</v>
      </c>
      <c r="V42" s="1" t="s">
        <v>285</v>
      </c>
      <c r="X42" s="1" t="s">
        <v>227</v>
      </c>
      <c r="Y42" s="1" t="s">
        <v>281</v>
      </c>
      <c r="Z42" s="1" t="s">
        <v>282</v>
      </c>
      <c r="AA42" s="13">
        <v>59</v>
      </c>
      <c r="AB42" s="13" t="s">
        <v>119</v>
      </c>
      <c r="AC42" s="13" t="s">
        <v>80</v>
      </c>
      <c r="AD42" s="3">
        <v>1.227</v>
      </c>
      <c r="AE42" s="3">
        <v>22</v>
      </c>
      <c r="AF42" s="3">
        <v>0.973</v>
      </c>
      <c r="AG42" s="4">
        <v>0.882</v>
      </c>
      <c r="AH42" s="3">
        <v>17</v>
      </c>
      <c r="AI42" s="3">
        <v>0.781</v>
      </c>
      <c r="BF42" s="1" t="s">
        <v>283</v>
      </c>
      <c r="BH42" s="9" t="s">
        <v>82</v>
      </c>
      <c r="BI42" s="9" t="s">
        <v>82</v>
      </c>
      <c r="BJ42" s="10" t="str">
        <f t="shared" si="4"/>
        <v>temperate</v>
      </c>
      <c r="BK42" s="11" t="s">
        <v>127</v>
      </c>
    </row>
    <row r="43" ht="42.75" spans="1:63">
      <c r="A43">
        <v>42</v>
      </c>
      <c r="B43" t="s">
        <v>271</v>
      </c>
      <c r="C43" t="s">
        <v>272</v>
      </c>
      <c r="D43" t="s">
        <v>273</v>
      </c>
      <c r="E43" t="s">
        <v>274</v>
      </c>
      <c r="F43">
        <v>2023</v>
      </c>
      <c r="G43" s="12" t="s">
        <v>275</v>
      </c>
      <c r="H43" t="s">
        <v>276</v>
      </c>
      <c r="I43">
        <v>43.0722</v>
      </c>
      <c r="J43">
        <v>-89.4008</v>
      </c>
      <c r="K43">
        <v>25</v>
      </c>
      <c r="L43" t="s">
        <v>216</v>
      </c>
      <c r="M43" t="str">
        <f t="shared" si="3"/>
        <v>Group D</v>
      </c>
      <c r="N43" t="s">
        <v>182</v>
      </c>
      <c r="O43" t="s">
        <v>183</v>
      </c>
      <c r="P43" t="s">
        <v>277</v>
      </c>
      <c r="Q43" t="s">
        <v>278</v>
      </c>
      <c r="R43" t="s">
        <v>277</v>
      </c>
      <c r="S43" t="s">
        <v>279</v>
      </c>
      <c r="T43" t="s">
        <v>280</v>
      </c>
      <c r="U43" t="s">
        <v>75</v>
      </c>
      <c r="V43" s="1" t="s">
        <v>172</v>
      </c>
      <c r="X43" s="1" t="s">
        <v>172</v>
      </c>
      <c r="Y43" s="1" t="s">
        <v>286</v>
      </c>
      <c r="Z43" s="1" t="s">
        <v>287</v>
      </c>
      <c r="AA43" s="13">
        <v>59</v>
      </c>
      <c r="AB43" s="13" t="s">
        <v>119</v>
      </c>
      <c r="AC43" s="13" t="s">
        <v>80</v>
      </c>
      <c r="AD43" s="3">
        <v>20.037</v>
      </c>
      <c r="AE43" s="3">
        <v>22</v>
      </c>
      <c r="AF43" s="3">
        <v>4.38</v>
      </c>
      <c r="AG43" s="4">
        <v>13.824</v>
      </c>
      <c r="AH43" s="3">
        <v>17</v>
      </c>
      <c r="AI43" s="3">
        <v>5.512</v>
      </c>
      <c r="BF43" s="1" t="s">
        <v>283</v>
      </c>
      <c r="BH43" s="9" t="s">
        <v>82</v>
      </c>
      <c r="BI43" s="9" t="s">
        <v>82</v>
      </c>
      <c r="BJ43" s="10" t="str">
        <f t="shared" si="4"/>
        <v>temperate</v>
      </c>
      <c r="BK43" s="11" t="s">
        <v>127</v>
      </c>
    </row>
    <row r="44" ht="42.75" spans="1:63">
      <c r="A44">
        <v>43</v>
      </c>
      <c r="B44" t="s">
        <v>271</v>
      </c>
      <c r="C44" t="s">
        <v>272</v>
      </c>
      <c r="D44" t="s">
        <v>273</v>
      </c>
      <c r="E44" t="s">
        <v>274</v>
      </c>
      <c r="F44">
        <v>2023</v>
      </c>
      <c r="G44" s="12" t="s">
        <v>275</v>
      </c>
      <c r="H44" t="s">
        <v>276</v>
      </c>
      <c r="I44">
        <v>43.0722</v>
      </c>
      <c r="J44">
        <v>-89.4008</v>
      </c>
      <c r="K44">
        <v>25</v>
      </c>
      <c r="L44" t="s">
        <v>216</v>
      </c>
      <c r="M44" t="str">
        <f t="shared" si="3"/>
        <v>Group D</v>
      </c>
      <c r="N44" t="s">
        <v>182</v>
      </c>
      <c r="O44" t="s">
        <v>183</v>
      </c>
      <c r="P44" t="s">
        <v>277</v>
      </c>
      <c r="Q44" t="s">
        <v>278</v>
      </c>
      <c r="R44" t="s">
        <v>277</v>
      </c>
      <c r="S44" t="s">
        <v>279</v>
      </c>
      <c r="T44" t="s">
        <v>280</v>
      </c>
      <c r="U44" t="s">
        <v>191</v>
      </c>
      <c r="V44" s="1" t="s">
        <v>191</v>
      </c>
      <c r="X44" s="1" t="s">
        <v>191</v>
      </c>
      <c r="Y44" s="1" t="s">
        <v>191</v>
      </c>
      <c r="Z44" s="1" t="s">
        <v>191</v>
      </c>
      <c r="AA44" s="13">
        <v>59</v>
      </c>
      <c r="AB44" s="13" t="s">
        <v>119</v>
      </c>
      <c r="AC44" s="13" t="s">
        <v>80</v>
      </c>
      <c r="AD44" s="3">
        <v>13.697</v>
      </c>
      <c r="AE44" s="3">
        <v>22</v>
      </c>
      <c r="AF44" s="3">
        <v>3.777</v>
      </c>
      <c r="AG44" s="4">
        <v>11.009</v>
      </c>
      <c r="AH44" s="3">
        <v>17</v>
      </c>
      <c r="AI44" s="3">
        <v>3.182</v>
      </c>
      <c r="BF44" s="1" t="s">
        <v>283</v>
      </c>
      <c r="BH44" s="9" t="s">
        <v>82</v>
      </c>
      <c r="BI44" s="9" t="s">
        <v>82</v>
      </c>
      <c r="BJ44" s="10" t="str">
        <f t="shared" si="4"/>
        <v>temperate</v>
      </c>
      <c r="BK44" s="11" t="s">
        <v>127</v>
      </c>
    </row>
    <row r="45" ht="42.75" spans="1:63">
      <c r="A45">
        <v>44</v>
      </c>
      <c r="B45" t="s">
        <v>288</v>
      </c>
      <c r="C45" t="s">
        <v>289</v>
      </c>
      <c r="D45" t="s">
        <v>290</v>
      </c>
      <c r="E45" t="s">
        <v>291</v>
      </c>
      <c r="F45">
        <v>2023</v>
      </c>
      <c r="G45" s="12" t="s">
        <v>292</v>
      </c>
      <c r="H45" t="s">
        <v>293</v>
      </c>
      <c r="I45">
        <v>-7.8754</v>
      </c>
      <c r="J45">
        <v>110.4262</v>
      </c>
      <c r="K45">
        <v>2</v>
      </c>
      <c r="L45" t="s">
        <v>256</v>
      </c>
      <c r="M45" t="str">
        <f t="shared" si="3"/>
        <v>Group A</v>
      </c>
      <c r="N45" t="s">
        <v>70</v>
      </c>
      <c r="O45" t="s">
        <v>71</v>
      </c>
      <c r="P45" t="s">
        <v>147</v>
      </c>
      <c r="Q45" t="s">
        <v>72</v>
      </c>
      <c r="R45" t="s">
        <v>147</v>
      </c>
      <c r="S45" t="s">
        <v>148</v>
      </c>
      <c r="T45" t="s">
        <v>74</v>
      </c>
      <c r="U45" t="s">
        <v>75</v>
      </c>
      <c r="V45" s="1" t="s">
        <v>172</v>
      </c>
      <c r="X45" s="1" t="s">
        <v>172</v>
      </c>
      <c r="Y45" s="1" t="s">
        <v>286</v>
      </c>
      <c r="Z45" s="1" t="s">
        <v>287</v>
      </c>
      <c r="AA45" s="13">
        <v>31.7</v>
      </c>
      <c r="AB45" s="13" t="s">
        <v>79</v>
      </c>
      <c r="AC45" s="13" t="s">
        <v>80</v>
      </c>
      <c r="AD45" s="3">
        <v>18.747</v>
      </c>
      <c r="AE45" s="3">
        <v>4</v>
      </c>
      <c r="AF45" s="3">
        <v>3.313</v>
      </c>
      <c r="AG45" s="4">
        <v>9.979</v>
      </c>
      <c r="AH45" s="3">
        <v>4</v>
      </c>
      <c r="AI45" s="3">
        <v>1.106</v>
      </c>
      <c r="AQ45" s="7">
        <v>33</v>
      </c>
      <c r="AR45" s="15" t="s">
        <v>294</v>
      </c>
      <c r="AS45" s="15" t="s">
        <v>295</v>
      </c>
      <c r="AT45" s="7" t="s">
        <v>122</v>
      </c>
      <c r="AU45" s="7">
        <v>0.384333</v>
      </c>
      <c r="AV45" s="7">
        <v>6</v>
      </c>
      <c r="AW45" s="7">
        <v>0.204771</v>
      </c>
      <c r="AX45" s="7">
        <v>0.201705</v>
      </c>
      <c r="AY45" s="7">
        <v>6</v>
      </c>
      <c r="AZ45" s="7">
        <v>0.080738</v>
      </c>
      <c r="BA45" s="7">
        <v>0.513276</v>
      </c>
      <c r="BB45" s="7">
        <v>16</v>
      </c>
      <c r="BC45" s="7">
        <v>0.236332</v>
      </c>
      <c r="BD45" s="29" t="s">
        <v>98</v>
      </c>
      <c r="BF45" s="1" t="s">
        <v>296</v>
      </c>
      <c r="BG45" s="7" t="s">
        <v>101</v>
      </c>
      <c r="BH45" s="9" t="s">
        <v>297</v>
      </c>
      <c r="BI45" s="9" t="s">
        <v>126</v>
      </c>
      <c r="BJ45" s="10" t="str">
        <f t="shared" si="4"/>
        <v>tropic</v>
      </c>
      <c r="BK45" s="11" t="s">
        <v>164</v>
      </c>
    </row>
    <row r="46" ht="42.75" spans="1:63">
      <c r="A46">
        <v>45</v>
      </c>
      <c r="B46" t="s">
        <v>298</v>
      </c>
      <c r="C46" t="s">
        <v>299</v>
      </c>
      <c r="D46" t="s">
        <v>300</v>
      </c>
      <c r="E46" t="s">
        <v>301</v>
      </c>
      <c r="F46">
        <v>2023</v>
      </c>
      <c r="G46" s="12" t="s">
        <v>302</v>
      </c>
      <c r="H46" t="s">
        <v>303</v>
      </c>
      <c r="I46">
        <v>44.9333</v>
      </c>
      <c r="J46">
        <v>17.825</v>
      </c>
      <c r="K46">
        <v>26</v>
      </c>
      <c r="L46" t="s">
        <v>181</v>
      </c>
      <c r="M46" t="str">
        <f t="shared" si="3"/>
        <v>Group D</v>
      </c>
      <c r="N46" t="s">
        <v>182</v>
      </c>
      <c r="O46" t="s">
        <v>183</v>
      </c>
      <c r="P46" t="s">
        <v>147</v>
      </c>
      <c r="Q46" t="s">
        <v>72</v>
      </c>
      <c r="R46" t="s">
        <v>147</v>
      </c>
      <c r="S46" t="s">
        <v>148</v>
      </c>
      <c r="T46" t="s">
        <v>74</v>
      </c>
      <c r="U46" t="s">
        <v>75</v>
      </c>
      <c r="V46" s="1" t="s">
        <v>172</v>
      </c>
      <c r="X46" s="1" t="s">
        <v>172</v>
      </c>
      <c r="Y46" s="1" t="s">
        <v>172</v>
      </c>
      <c r="Z46" s="1" t="s">
        <v>173</v>
      </c>
      <c r="AA46" s="13">
        <v>8.3</v>
      </c>
      <c r="AB46" s="13" t="s">
        <v>192</v>
      </c>
      <c r="AC46" s="13" t="s">
        <v>80</v>
      </c>
      <c r="AQ46" s="7">
        <v>8</v>
      </c>
      <c r="AR46" s="15" t="s">
        <v>304</v>
      </c>
      <c r="AS46" s="15" t="s">
        <v>305</v>
      </c>
      <c r="AT46" s="7" t="s">
        <v>122</v>
      </c>
      <c r="AU46" s="7">
        <v>0.552568</v>
      </c>
      <c r="AV46" s="7">
        <v>435</v>
      </c>
      <c r="AW46" s="7">
        <v>0.277587</v>
      </c>
      <c r="AX46" s="7">
        <v>0.453009</v>
      </c>
      <c r="AY46" s="7">
        <v>435</v>
      </c>
      <c r="AZ46" s="7">
        <v>0.222019</v>
      </c>
      <c r="BA46" s="7">
        <v>0.889762</v>
      </c>
      <c r="BB46" s="7">
        <v>900</v>
      </c>
      <c r="BC46" s="7">
        <v>0.328105</v>
      </c>
      <c r="BD46" s="29" t="s">
        <v>98</v>
      </c>
      <c r="BF46" s="1" t="s">
        <v>306</v>
      </c>
      <c r="BG46" s="7" t="s">
        <v>101</v>
      </c>
      <c r="BH46" s="9" t="s">
        <v>82</v>
      </c>
      <c r="BI46" s="9" t="s">
        <v>82</v>
      </c>
      <c r="BJ46" s="10" t="str">
        <f t="shared" si="4"/>
        <v>temperate</v>
      </c>
      <c r="BK46" s="11" t="s">
        <v>164</v>
      </c>
    </row>
    <row r="47" ht="42.75" spans="1:63">
      <c r="A47">
        <v>46</v>
      </c>
      <c r="B47" t="s">
        <v>298</v>
      </c>
      <c r="C47" t="s">
        <v>299</v>
      </c>
      <c r="D47" t="s">
        <v>307</v>
      </c>
      <c r="E47" t="s">
        <v>301</v>
      </c>
      <c r="F47">
        <v>2023</v>
      </c>
      <c r="G47" s="12" t="s">
        <v>302</v>
      </c>
      <c r="H47" t="s">
        <v>303</v>
      </c>
      <c r="I47">
        <v>44.9333</v>
      </c>
      <c r="J47">
        <v>17.825</v>
      </c>
      <c r="K47">
        <v>26</v>
      </c>
      <c r="L47" t="s">
        <v>181</v>
      </c>
      <c r="M47" t="str">
        <f t="shared" si="3"/>
        <v>Group D</v>
      </c>
      <c r="N47" t="s">
        <v>182</v>
      </c>
      <c r="O47" t="s">
        <v>183</v>
      </c>
      <c r="P47" t="s">
        <v>147</v>
      </c>
      <c r="Q47" t="s">
        <v>72</v>
      </c>
      <c r="R47" t="s">
        <v>147</v>
      </c>
      <c r="S47" t="s">
        <v>148</v>
      </c>
      <c r="T47" t="s">
        <v>74</v>
      </c>
      <c r="U47" t="s">
        <v>75</v>
      </c>
      <c r="V47" s="1" t="s">
        <v>172</v>
      </c>
      <c r="X47" s="1" t="s">
        <v>172</v>
      </c>
      <c r="Y47" s="1" t="s">
        <v>172</v>
      </c>
      <c r="Z47" s="1" t="s">
        <v>173</v>
      </c>
      <c r="AA47" s="13">
        <v>1.7</v>
      </c>
      <c r="AB47" s="13" t="s">
        <v>192</v>
      </c>
      <c r="AC47" s="13" t="s">
        <v>80</v>
      </c>
      <c r="AD47" s="3">
        <v>16.03</v>
      </c>
      <c r="AE47" s="3">
        <v>6</v>
      </c>
      <c r="AF47" s="3">
        <v>2.147</v>
      </c>
      <c r="AG47" s="4">
        <v>17.66</v>
      </c>
      <c r="AH47" s="3">
        <v>6</v>
      </c>
      <c r="AI47" s="3">
        <v>2.047</v>
      </c>
      <c r="AJ47" s="5" t="s">
        <v>81</v>
      </c>
      <c r="AK47" s="14">
        <v>1.566</v>
      </c>
      <c r="AL47" s="14">
        <v>6</v>
      </c>
      <c r="AM47" s="14">
        <v>0.10821039</v>
      </c>
      <c r="AN47" s="14">
        <v>1.157</v>
      </c>
      <c r="AO47" s="14">
        <v>6</v>
      </c>
      <c r="AP47" s="14">
        <v>0.285281938</v>
      </c>
      <c r="BF47" t="s">
        <v>308</v>
      </c>
      <c r="BH47" s="9" t="s">
        <v>82</v>
      </c>
      <c r="BI47" s="9" t="s">
        <v>82</v>
      </c>
      <c r="BJ47" s="10" t="str">
        <f t="shared" si="4"/>
        <v>temperate</v>
      </c>
      <c r="BK47" s="11" t="s">
        <v>164</v>
      </c>
    </row>
    <row r="48" ht="42.75" spans="1:63">
      <c r="A48">
        <v>47</v>
      </c>
      <c r="B48" t="s">
        <v>298</v>
      </c>
      <c r="C48" t="s">
        <v>299</v>
      </c>
      <c r="D48" t="s">
        <v>309</v>
      </c>
      <c r="E48" t="s">
        <v>301</v>
      </c>
      <c r="F48">
        <v>2023</v>
      </c>
      <c r="G48" s="12" t="s">
        <v>302</v>
      </c>
      <c r="H48" t="s">
        <v>303</v>
      </c>
      <c r="I48">
        <v>46.82675</v>
      </c>
      <c r="J48">
        <v>17.56197</v>
      </c>
      <c r="K48">
        <v>26</v>
      </c>
      <c r="L48" t="s">
        <v>181</v>
      </c>
      <c r="M48" t="str">
        <f t="shared" si="3"/>
        <v>Group D</v>
      </c>
      <c r="N48" t="s">
        <v>182</v>
      </c>
      <c r="O48" t="s">
        <v>183</v>
      </c>
      <c r="P48" t="s">
        <v>147</v>
      </c>
      <c r="Q48" t="s">
        <v>72</v>
      </c>
      <c r="R48" t="s">
        <v>147</v>
      </c>
      <c r="S48" t="s">
        <v>148</v>
      </c>
      <c r="T48" t="s">
        <v>74</v>
      </c>
      <c r="U48" t="s">
        <v>75</v>
      </c>
      <c r="V48" s="1" t="s">
        <v>172</v>
      </c>
      <c r="X48" s="1" t="s">
        <v>172</v>
      </c>
      <c r="Y48" s="1" t="s">
        <v>172</v>
      </c>
      <c r="Z48" s="1" t="s">
        <v>173</v>
      </c>
      <c r="AA48" s="13">
        <v>16.7</v>
      </c>
      <c r="AB48" s="13" t="s">
        <v>79</v>
      </c>
      <c r="AC48" s="13" t="s">
        <v>80</v>
      </c>
      <c r="AD48" s="3">
        <v>19.699</v>
      </c>
      <c r="AE48" s="3">
        <v>6</v>
      </c>
      <c r="AF48" s="3">
        <v>2.397</v>
      </c>
      <c r="AG48" s="4">
        <v>13.665</v>
      </c>
      <c r="AH48" s="3">
        <v>6</v>
      </c>
      <c r="AI48" s="3">
        <v>5.642</v>
      </c>
      <c r="AJ48" s="5" t="s">
        <v>81</v>
      </c>
      <c r="AK48" s="14">
        <v>1.97</v>
      </c>
      <c r="AL48" s="14">
        <v>6</v>
      </c>
      <c r="AM48" s="14">
        <v>0.295119246</v>
      </c>
      <c r="AN48" s="14">
        <v>1.526</v>
      </c>
      <c r="AO48" s="14">
        <v>6</v>
      </c>
      <c r="AP48" s="14">
        <v>0.324631171</v>
      </c>
      <c r="BF48" t="s">
        <v>310</v>
      </c>
      <c r="BH48" s="9" t="s">
        <v>82</v>
      </c>
      <c r="BI48" s="9" t="s">
        <v>82</v>
      </c>
      <c r="BJ48" s="10" t="str">
        <f t="shared" si="4"/>
        <v>temperate</v>
      </c>
      <c r="BK48" s="11" t="s">
        <v>164</v>
      </c>
    </row>
    <row r="49" ht="42.75" spans="1:63">
      <c r="A49">
        <v>48</v>
      </c>
      <c r="B49" t="s">
        <v>298</v>
      </c>
      <c r="C49" t="s">
        <v>299</v>
      </c>
      <c r="D49" t="s">
        <v>311</v>
      </c>
      <c r="E49" t="s">
        <v>301</v>
      </c>
      <c r="F49">
        <v>2023</v>
      </c>
      <c r="G49" s="12" t="s">
        <v>302</v>
      </c>
      <c r="H49" t="s">
        <v>303</v>
      </c>
      <c r="I49">
        <v>46.9167</v>
      </c>
      <c r="J49">
        <v>17.6667</v>
      </c>
      <c r="K49">
        <v>26</v>
      </c>
      <c r="L49" t="s">
        <v>181</v>
      </c>
      <c r="M49" t="str">
        <f t="shared" si="3"/>
        <v>Group D</v>
      </c>
      <c r="N49" t="s">
        <v>182</v>
      </c>
      <c r="O49" t="s">
        <v>183</v>
      </c>
      <c r="P49" t="s">
        <v>147</v>
      </c>
      <c r="Q49" t="s">
        <v>72</v>
      </c>
      <c r="R49" t="s">
        <v>147</v>
      </c>
      <c r="S49" t="s">
        <v>148</v>
      </c>
      <c r="T49" t="s">
        <v>74</v>
      </c>
      <c r="U49" t="s">
        <v>75</v>
      </c>
      <c r="V49" s="1" t="s">
        <v>172</v>
      </c>
      <c r="X49" s="1" t="s">
        <v>172</v>
      </c>
      <c r="Y49" s="1" t="s">
        <v>172</v>
      </c>
      <c r="Z49" s="1" t="s">
        <v>173</v>
      </c>
      <c r="AA49" s="13">
        <v>1.17</v>
      </c>
      <c r="AB49" s="13" t="s">
        <v>192</v>
      </c>
      <c r="AC49" s="13" t="s">
        <v>80</v>
      </c>
      <c r="AD49" s="3">
        <v>11.177</v>
      </c>
      <c r="AE49" s="3">
        <v>6</v>
      </c>
      <c r="AF49" s="3">
        <v>2.597</v>
      </c>
      <c r="AG49" s="4">
        <v>12.849</v>
      </c>
      <c r="AH49" s="3">
        <v>6</v>
      </c>
      <c r="AI49" s="3">
        <v>3.646</v>
      </c>
      <c r="AJ49" s="5" t="s">
        <v>81</v>
      </c>
      <c r="AK49" s="14">
        <v>1.088</v>
      </c>
      <c r="AL49" s="14">
        <v>6</v>
      </c>
      <c r="AM49" s="14">
        <v>0.147559623</v>
      </c>
      <c r="AN49" s="14">
        <v>1.259</v>
      </c>
      <c r="AO49" s="14">
        <v>6</v>
      </c>
      <c r="AP49" s="14">
        <v>0.103291736</v>
      </c>
      <c r="BF49" t="s">
        <v>312</v>
      </c>
      <c r="BH49" s="9" t="s">
        <v>82</v>
      </c>
      <c r="BI49" s="9" t="s">
        <v>82</v>
      </c>
      <c r="BJ49" s="10" t="str">
        <f t="shared" si="4"/>
        <v>temperate</v>
      </c>
      <c r="BK49" s="11" t="s">
        <v>164</v>
      </c>
    </row>
    <row r="50" ht="42.75" spans="1:63">
      <c r="A50">
        <v>49</v>
      </c>
      <c r="B50" t="s">
        <v>298</v>
      </c>
      <c r="C50" t="s">
        <v>299</v>
      </c>
      <c r="D50" t="s">
        <v>313</v>
      </c>
      <c r="E50" t="s">
        <v>301</v>
      </c>
      <c r="F50">
        <v>2023</v>
      </c>
      <c r="G50" s="12" t="s">
        <v>302</v>
      </c>
      <c r="H50" t="s">
        <v>303</v>
      </c>
      <c r="I50">
        <v>46.9667</v>
      </c>
      <c r="J50">
        <v>17.8972</v>
      </c>
      <c r="K50">
        <v>26</v>
      </c>
      <c r="L50" t="s">
        <v>181</v>
      </c>
      <c r="M50" t="str">
        <f t="shared" si="3"/>
        <v>Group D</v>
      </c>
      <c r="N50" t="s">
        <v>182</v>
      </c>
      <c r="O50" t="s">
        <v>183</v>
      </c>
      <c r="P50" t="s">
        <v>147</v>
      </c>
      <c r="Q50" t="s">
        <v>72</v>
      </c>
      <c r="R50" t="s">
        <v>147</v>
      </c>
      <c r="S50" t="s">
        <v>148</v>
      </c>
      <c r="T50" t="s">
        <v>74</v>
      </c>
      <c r="U50" t="s">
        <v>75</v>
      </c>
      <c r="V50" s="1" t="s">
        <v>172</v>
      </c>
      <c r="X50" s="1" t="s">
        <v>172</v>
      </c>
      <c r="Y50" s="1" t="s">
        <v>172</v>
      </c>
      <c r="Z50" s="1" t="s">
        <v>173</v>
      </c>
      <c r="AA50" s="13">
        <v>3.6</v>
      </c>
      <c r="AB50" s="13" t="s">
        <v>192</v>
      </c>
      <c r="AC50" s="13" t="s">
        <v>80</v>
      </c>
      <c r="AD50" s="3">
        <v>20.556</v>
      </c>
      <c r="AE50" s="3">
        <v>6</v>
      </c>
      <c r="AF50" s="3">
        <v>4.894</v>
      </c>
      <c r="AG50" s="4">
        <v>11.34</v>
      </c>
      <c r="AH50" s="3">
        <v>6</v>
      </c>
      <c r="AI50" s="3">
        <v>2.097</v>
      </c>
      <c r="AJ50" s="5" t="s">
        <v>81</v>
      </c>
      <c r="AK50" s="14">
        <v>1.373</v>
      </c>
      <c r="AL50" s="14">
        <v>6</v>
      </c>
      <c r="AM50" s="14">
        <v>0.167234239</v>
      </c>
      <c r="AN50" s="14">
        <v>1.394</v>
      </c>
      <c r="AO50" s="14">
        <v>6</v>
      </c>
      <c r="AP50" s="14">
        <v>0.132803661</v>
      </c>
      <c r="BF50" t="s">
        <v>314</v>
      </c>
      <c r="BH50" s="9" t="s">
        <v>82</v>
      </c>
      <c r="BI50" s="9" t="s">
        <v>82</v>
      </c>
      <c r="BJ50" s="10" t="str">
        <f t="shared" si="4"/>
        <v>temperate</v>
      </c>
      <c r="BK50" s="11" t="s">
        <v>164</v>
      </c>
    </row>
    <row r="51" ht="42.75" spans="1:63">
      <c r="A51">
        <v>50</v>
      </c>
      <c r="B51" t="s">
        <v>298</v>
      </c>
      <c r="C51" t="s">
        <v>299</v>
      </c>
      <c r="D51" t="s">
        <v>315</v>
      </c>
      <c r="E51" t="s">
        <v>301</v>
      </c>
      <c r="F51">
        <v>2023</v>
      </c>
      <c r="G51" s="12" t="s">
        <v>302</v>
      </c>
      <c r="H51" t="s">
        <v>303</v>
      </c>
      <c r="I51">
        <v>46.9167</v>
      </c>
      <c r="J51">
        <v>17.8139</v>
      </c>
      <c r="K51">
        <v>26</v>
      </c>
      <c r="L51" t="s">
        <v>181</v>
      </c>
      <c r="M51" t="str">
        <f t="shared" si="3"/>
        <v>Group D</v>
      </c>
      <c r="N51" t="s">
        <v>182</v>
      </c>
      <c r="O51" t="s">
        <v>183</v>
      </c>
      <c r="P51" t="s">
        <v>147</v>
      </c>
      <c r="Q51" t="s">
        <v>72</v>
      </c>
      <c r="R51" t="s">
        <v>147</v>
      </c>
      <c r="S51" t="s">
        <v>148</v>
      </c>
      <c r="T51" t="s">
        <v>74</v>
      </c>
      <c r="U51" t="s">
        <v>75</v>
      </c>
      <c r="V51" s="1" t="s">
        <v>172</v>
      </c>
      <c r="X51" s="1" t="s">
        <v>172</v>
      </c>
      <c r="Y51" s="1" t="s">
        <v>172</v>
      </c>
      <c r="Z51" s="1" t="s">
        <v>173</v>
      </c>
      <c r="AA51" s="13">
        <v>1</v>
      </c>
      <c r="AB51" s="13" t="s">
        <v>192</v>
      </c>
      <c r="AC51" s="13" t="s">
        <v>80</v>
      </c>
      <c r="AD51" s="3">
        <v>14.684</v>
      </c>
      <c r="AE51" s="3">
        <v>6</v>
      </c>
      <c r="AF51" s="3">
        <v>4.245</v>
      </c>
      <c r="AG51" s="4">
        <v>8.16</v>
      </c>
      <c r="AH51" s="3">
        <v>6</v>
      </c>
      <c r="AI51" s="3">
        <v>1.498</v>
      </c>
      <c r="AJ51" s="5" t="s">
        <v>81</v>
      </c>
      <c r="AK51" s="14">
        <v>1.492</v>
      </c>
      <c r="AL51" s="14">
        <v>6</v>
      </c>
      <c r="AM51" s="14">
        <v>0.270525976</v>
      </c>
      <c r="AN51" s="14">
        <v>1.145</v>
      </c>
      <c r="AO51" s="14">
        <v>6</v>
      </c>
      <c r="AP51" s="14">
        <v>0.10821039</v>
      </c>
      <c r="BF51" t="s">
        <v>316</v>
      </c>
      <c r="BH51" s="9" t="s">
        <v>82</v>
      </c>
      <c r="BI51" s="9" t="s">
        <v>82</v>
      </c>
      <c r="BJ51" s="10" t="str">
        <f t="shared" si="4"/>
        <v>temperate</v>
      </c>
      <c r="BK51" s="11" t="s">
        <v>164</v>
      </c>
    </row>
    <row r="52" ht="57" spans="1:63">
      <c r="A52">
        <v>51</v>
      </c>
      <c r="B52" t="s">
        <v>317</v>
      </c>
      <c r="C52" t="s">
        <v>318</v>
      </c>
      <c r="D52" t="s">
        <v>319</v>
      </c>
      <c r="E52" t="s">
        <v>320</v>
      </c>
      <c r="F52">
        <v>2023</v>
      </c>
      <c r="G52" s="12" t="s">
        <v>321</v>
      </c>
      <c r="H52" t="s">
        <v>322</v>
      </c>
      <c r="I52">
        <v>52.5167</v>
      </c>
      <c r="J52">
        <v>13.4</v>
      </c>
      <c r="K52">
        <v>26</v>
      </c>
      <c r="L52" t="s">
        <v>181</v>
      </c>
      <c r="M52" t="str">
        <f t="shared" si="3"/>
        <v>Group D</v>
      </c>
      <c r="N52" t="s">
        <v>182</v>
      </c>
      <c r="O52" t="s">
        <v>183</v>
      </c>
      <c r="P52" t="s">
        <v>277</v>
      </c>
      <c r="Q52" t="s">
        <v>217</v>
      </c>
      <c r="R52" t="s">
        <v>277</v>
      </c>
      <c r="S52" t="s">
        <v>279</v>
      </c>
      <c r="T52" t="s">
        <v>74</v>
      </c>
      <c r="U52" t="s">
        <v>75</v>
      </c>
      <c r="V52" s="1" t="s">
        <v>323</v>
      </c>
      <c r="X52" s="1" t="s">
        <v>172</v>
      </c>
      <c r="Y52" s="1" t="s">
        <v>324</v>
      </c>
      <c r="Z52" s="1" t="s">
        <v>325</v>
      </c>
      <c r="AA52" s="13">
        <v>31.3</v>
      </c>
      <c r="AB52" s="13" t="s">
        <v>79</v>
      </c>
      <c r="AC52" s="13" t="s">
        <v>80</v>
      </c>
      <c r="AD52" s="3">
        <v>2.8</v>
      </c>
      <c r="AE52" s="3">
        <v>5</v>
      </c>
      <c r="AF52" s="3">
        <v>1.923</v>
      </c>
      <c r="AG52" s="3">
        <v>1.857</v>
      </c>
      <c r="AH52" s="3">
        <v>7</v>
      </c>
      <c r="AI52" s="3">
        <v>1.574</v>
      </c>
      <c r="AK52" s="18"/>
      <c r="AL52" s="18"/>
      <c r="AM52" s="18"/>
      <c r="AN52" s="18"/>
      <c r="AO52" s="18"/>
      <c r="AP52" s="18"/>
      <c r="BF52" s="1" t="s">
        <v>326</v>
      </c>
      <c r="BH52" s="9" t="s">
        <v>82</v>
      </c>
      <c r="BI52" s="9" t="s">
        <v>82</v>
      </c>
      <c r="BJ52" s="10" t="str">
        <f t="shared" si="4"/>
        <v>temperate</v>
      </c>
      <c r="BK52" s="11" t="s">
        <v>83</v>
      </c>
    </row>
    <row r="53" ht="42.75" spans="1:63">
      <c r="A53">
        <v>52</v>
      </c>
      <c r="B53" t="s">
        <v>327</v>
      </c>
      <c r="C53" t="s">
        <v>328</v>
      </c>
      <c r="D53" t="s">
        <v>329</v>
      </c>
      <c r="E53" t="s">
        <v>330</v>
      </c>
      <c r="F53">
        <v>2023</v>
      </c>
      <c r="G53" s="12" t="s">
        <v>331</v>
      </c>
      <c r="H53" t="s">
        <v>332</v>
      </c>
      <c r="I53">
        <v>42.3149</v>
      </c>
      <c r="J53">
        <v>-83.0364</v>
      </c>
      <c r="K53">
        <v>25</v>
      </c>
      <c r="L53" t="s">
        <v>216</v>
      </c>
      <c r="M53" t="str">
        <f t="shared" si="3"/>
        <v>Group D</v>
      </c>
      <c r="N53" t="s">
        <v>182</v>
      </c>
      <c r="O53" t="s">
        <v>183</v>
      </c>
      <c r="P53" t="s">
        <v>147</v>
      </c>
      <c r="Q53" t="s">
        <v>72</v>
      </c>
      <c r="R53" t="s">
        <v>147</v>
      </c>
      <c r="S53" t="s">
        <v>148</v>
      </c>
      <c r="T53" t="s">
        <v>74</v>
      </c>
      <c r="U53" t="s">
        <v>75</v>
      </c>
      <c r="V53" s="1" t="s">
        <v>333</v>
      </c>
      <c r="X53" s="1" t="s">
        <v>172</v>
      </c>
      <c r="Y53" s="1" t="s">
        <v>172</v>
      </c>
      <c r="Z53" s="1" t="s">
        <v>173</v>
      </c>
      <c r="AA53" s="13">
        <v>34.5</v>
      </c>
      <c r="AB53" s="13" t="s">
        <v>79</v>
      </c>
      <c r="AC53" s="13" t="s">
        <v>80</v>
      </c>
      <c r="AD53" s="3">
        <v>23</v>
      </c>
      <c r="AE53" s="3">
        <v>8</v>
      </c>
      <c r="AF53" s="3">
        <v>6.590235201</v>
      </c>
      <c r="AG53" s="4">
        <v>15.2</v>
      </c>
      <c r="AH53" s="3">
        <v>5</v>
      </c>
      <c r="AI53" s="3">
        <v>7.200138888</v>
      </c>
      <c r="AJ53" s="5" t="s">
        <v>81</v>
      </c>
      <c r="AK53" s="18">
        <v>1.37</v>
      </c>
      <c r="AL53" s="18">
        <v>8</v>
      </c>
      <c r="AM53" s="18">
        <v>0.395979797</v>
      </c>
      <c r="AN53" s="18">
        <v>0.88</v>
      </c>
      <c r="AO53" s="18">
        <v>5</v>
      </c>
      <c r="AP53" s="18">
        <v>0.46957427</v>
      </c>
      <c r="BH53" s="9" t="s">
        <v>82</v>
      </c>
      <c r="BI53" s="9" t="s">
        <v>82</v>
      </c>
      <c r="BJ53" s="10" t="str">
        <f t="shared" si="4"/>
        <v>temperate</v>
      </c>
      <c r="BK53" s="11" t="s">
        <v>137</v>
      </c>
    </row>
    <row r="54" ht="28.5" spans="1:63">
      <c r="A54">
        <v>53</v>
      </c>
      <c r="B54" t="s">
        <v>334</v>
      </c>
      <c r="C54" t="s">
        <v>335</v>
      </c>
      <c r="D54" t="s">
        <v>336</v>
      </c>
      <c r="E54" t="s">
        <v>337</v>
      </c>
      <c r="F54">
        <v>2022</v>
      </c>
      <c r="G54" s="17" t="s">
        <v>338</v>
      </c>
      <c r="H54" t="s">
        <v>208</v>
      </c>
      <c r="I54">
        <v>-35</v>
      </c>
      <c r="J54">
        <v>-57.83</v>
      </c>
      <c r="K54">
        <v>14</v>
      </c>
      <c r="L54" t="s">
        <v>89</v>
      </c>
      <c r="M54" t="str">
        <f t="shared" si="3"/>
        <v>Group C</v>
      </c>
      <c r="N54" t="s">
        <v>182</v>
      </c>
      <c r="O54" t="s">
        <v>146</v>
      </c>
      <c r="P54" t="s">
        <v>339</v>
      </c>
      <c r="Q54" t="s">
        <v>72</v>
      </c>
      <c r="R54" t="s">
        <v>340</v>
      </c>
      <c r="S54" t="s">
        <v>341</v>
      </c>
      <c r="T54" t="s">
        <v>74</v>
      </c>
      <c r="U54" t="s">
        <v>75</v>
      </c>
      <c r="V54" s="1" t="s">
        <v>76</v>
      </c>
      <c r="W54" s="1" t="s">
        <v>77</v>
      </c>
      <c r="X54" s="1" t="s">
        <v>76</v>
      </c>
      <c r="Y54" s="1" t="s">
        <v>76</v>
      </c>
      <c r="Z54" s="1" t="s">
        <v>78</v>
      </c>
      <c r="AA54" s="13">
        <v>37</v>
      </c>
      <c r="AB54" s="13" t="s">
        <v>79</v>
      </c>
      <c r="AC54" s="13" t="s">
        <v>80</v>
      </c>
      <c r="AD54" s="3">
        <v>24.41207</v>
      </c>
      <c r="AE54" s="3">
        <v>4</v>
      </c>
      <c r="AF54" s="3">
        <v>2.122789</v>
      </c>
      <c r="AG54" s="3">
        <v>15.421</v>
      </c>
      <c r="AH54" s="3">
        <v>4</v>
      </c>
      <c r="AI54" s="3">
        <v>3.995838</v>
      </c>
      <c r="AJ54" s="5" t="s">
        <v>81</v>
      </c>
      <c r="AK54" s="14">
        <v>3.068182</v>
      </c>
      <c r="AL54" s="14">
        <v>4</v>
      </c>
      <c r="AM54" s="14">
        <v>0.785124</v>
      </c>
      <c r="AN54" s="19">
        <v>3.605372</v>
      </c>
      <c r="AO54" s="14">
        <v>4</v>
      </c>
      <c r="AP54" s="14">
        <v>0.366736</v>
      </c>
      <c r="BH54" s="9" t="s">
        <v>82</v>
      </c>
      <c r="BI54" s="9" t="s">
        <v>82</v>
      </c>
      <c r="BJ54" s="10" t="str">
        <f t="shared" si="4"/>
        <v>subtropic</v>
      </c>
      <c r="BK54" s="11" t="s">
        <v>137</v>
      </c>
    </row>
    <row r="55" ht="57" spans="1:63">
      <c r="A55">
        <v>54</v>
      </c>
      <c r="B55" t="s">
        <v>334</v>
      </c>
      <c r="C55" t="s">
        <v>335</v>
      </c>
      <c r="D55" t="s">
        <v>336</v>
      </c>
      <c r="E55" t="s">
        <v>337</v>
      </c>
      <c r="F55">
        <v>2022</v>
      </c>
      <c r="G55" s="17" t="s">
        <v>338</v>
      </c>
      <c r="H55" t="s">
        <v>208</v>
      </c>
      <c r="I55">
        <v>-35</v>
      </c>
      <c r="J55">
        <v>-57.83</v>
      </c>
      <c r="K55">
        <v>14</v>
      </c>
      <c r="L55" t="s">
        <v>89</v>
      </c>
      <c r="M55" t="str">
        <f t="shared" si="3"/>
        <v>Group C</v>
      </c>
      <c r="N55" t="s">
        <v>182</v>
      </c>
      <c r="O55" t="s">
        <v>146</v>
      </c>
      <c r="P55" t="s">
        <v>339</v>
      </c>
      <c r="Q55" t="s">
        <v>72</v>
      </c>
      <c r="R55" t="s">
        <v>340</v>
      </c>
      <c r="S55" t="s">
        <v>341</v>
      </c>
      <c r="T55" t="s">
        <v>74</v>
      </c>
      <c r="U55" t="s">
        <v>90</v>
      </c>
      <c r="V55" s="1" t="s">
        <v>342</v>
      </c>
      <c r="W55" s="1" t="s">
        <v>77</v>
      </c>
      <c r="X55" s="1" t="s">
        <v>240</v>
      </c>
      <c r="Y55" s="1" t="s">
        <v>241</v>
      </c>
      <c r="Z55" s="1" t="s">
        <v>241</v>
      </c>
      <c r="AA55" s="13">
        <v>37</v>
      </c>
      <c r="AB55" s="13" t="s">
        <v>79</v>
      </c>
      <c r="AC55" s="13" t="s">
        <v>80</v>
      </c>
      <c r="AD55" s="20">
        <v>39.20916</v>
      </c>
      <c r="AE55" s="21">
        <v>12</v>
      </c>
      <c r="AF55" s="20">
        <v>15.42144</v>
      </c>
      <c r="AG55" s="4">
        <v>29.53174</v>
      </c>
      <c r="AH55" s="21">
        <v>9</v>
      </c>
      <c r="AI55" s="20">
        <v>14.04787</v>
      </c>
      <c r="AJ55" s="5" t="s">
        <v>81</v>
      </c>
      <c r="AK55" s="14">
        <v>3.982438</v>
      </c>
      <c r="AL55" s="14">
        <v>9</v>
      </c>
      <c r="AM55" s="14">
        <v>0.650826</v>
      </c>
      <c r="AN55" s="14">
        <v>1.596074</v>
      </c>
      <c r="AO55" s="14">
        <v>9</v>
      </c>
      <c r="AP55" s="14">
        <v>0.914256</v>
      </c>
      <c r="BH55" s="9" t="s">
        <v>82</v>
      </c>
      <c r="BI55" s="9" t="s">
        <v>82</v>
      </c>
      <c r="BJ55" s="10" t="str">
        <f t="shared" si="4"/>
        <v>subtropic</v>
      </c>
      <c r="BK55" s="11" t="s">
        <v>137</v>
      </c>
    </row>
    <row r="56" ht="28.5" spans="1:63">
      <c r="A56">
        <v>55</v>
      </c>
      <c r="B56" t="s">
        <v>334</v>
      </c>
      <c r="C56" t="s">
        <v>335</v>
      </c>
      <c r="D56" t="s">
        <v>336</v>
      </c>
      <c r="E56" t="s">
        <v>337</v>
      </c>
      <c r="F56">
        <v>2022</v>
      </c>
      <c r="G56" s="17" t="s">
        <v>338</v>
      </c>
      <c r="H56" t="s">
        <v>208</v>
      </c>
      <c r="I56">
        <v>-35</v>
      </c>
      <c r="J56">
        <v>-57.83</v>
      </c>
      <c r="K56">
        <v>14</v>
      </c>
      <c r="L56" t="s">
        <v>89</v>
      </c>
      <c r="M56" t="str">
        <f t="shared" si="3"/>
        <v>Group C</v>
      </c>
      <c r="N56" t="s">
        <v>182</v>
      </c>
      <c r="O56" t="s">
        <v>146</v>
      </c>
      <c r="P56" t="s">
        <v>339</v>
      </c>
      <c r="Q56" t="s">
        <v>72</v>
      </c>
      <c r="R56" t="s">
        <v>340</v>
      </c>
      <c r="S56" t="s">
        <v>341</v>
      </c>
      <c r="T56" t="s">
        <v>74</v>
      </c>
      <c r="U56" t="s">
        <v>75</v>
      </c>
      <c r="V56" s="1" t="s">
        <v>343</v>
      </c>
      <c r="X56" s="1" t="s">
        <v>172</v>
      </c>
      <c r="Y56" s="1" t="s">
        <v>324</v>
      </c>
      <c r="Z56" s="1" t="s">
        <v>325</v>
      </c>
      <c r="AA56" s="13">
        <v>37</v>
      </c>
      <c r="AB56" s="13" t="s">
        <v>79</v>
      </c>
      <c r="AC56" s="13" t="s">
        <v>80</v>
      </c>
      <c r="AD56" s="20">
        <v>4.370447</v>
      </c>
      <c r="AE56" s="21">
        <v>16</v>
      </c>
      <c r="AF56" s="20">
        <v>2.497399</v>
      </c>
      <c r="AG56" s="4">
        <v>2.434964</v>
      </c>
      <c r="AH56" s="21">
        <v>2</v>
      </c>
      <c r="AI56" s="20">
        <v>0.936524</v>
      </c>
      <c r="AJ56" s="5" t="s">
        <v>81</v>
      </c>
      <c r="AK56" s="14">
        <v>1.599587</v>
      </c>
      <c r="AL56" s="14">
        <v>30</v>
      </c>
      <c r="AM56" s="14">
        <v>0.650155</v>
      </c>
      <c r="AN56" s="14">
        <v>0.717234</v>
      </c>
      <c r="AO56" s="14">
        <v>22</v>
      </c>
      <c r="AP56" s="14">
        <v>0.557276</v>
      </c>
      <c r="BH56" s="9" t="s">
        <v>82</v>
      </c>
      <c r="BI56" s="9" t="s">
        <v>82</v>
      </c>
      <c r="BJ56" s="10" t="str">
        <f t="shared" si="4"/>
        <v>subtropic</v>
      </c>
      <c r="BK56" s="11" t="s">
        <v>137</v>
      </c>
    </row>
    <row r="57" ht="28.5" spans="1:63">
      <c r="A57">
        <v>56</v>
      </c>
      <c r="B57" t="s">
        <v>334</v>
      </c>
      <c r="C57" t="s">
        <v>335</v>
      </c>
      <c r="D57" t="s">
        <v>336</v>
      </c>
      <c r="E57" t="s">
        <v>337</v>
      </c>
      <c r="F57">
        <v>2022</v>
      </c>
      <c r="G57" s="17" t="s">
        <v>338</v>
      </c>
      <c r="H57" t="s">
        <v>208</v>
      </c>
      <c r="I57">
        <v>-35</v>
      </c>
      <c r="J57">
        <v>-57.83</v>
      </c>
      <c r="K57">
        <v>14</v>
      </c>
      <c r="L57" t="s">
        <v>89</v>
      </c>
      <c r="M57" t="str">
        <f t="shared" si="3"/>
        <v>Group C</v>
      </c>
      <c r="N57" t="s">
        <v>182</v>
      </c>
      <c r="O57" t="s">
        <v>146</v>
      </c>
      <c r="P57" t="s">
        <v>339</v>
      </c>
      <c r="Q57" t="s">
        <v>72</v>
      </c>
      <c r="R57" t="s">
        <v>340</v>
      </c>
      <c r="S57" t="s">
        <v>341</v>
      </c>
      <c r="T57" t="s">
        <v>74</v>
      </c>
      <c r="U57" t="s">
        <v>75</v>
      </c>
      <c r="V57" s="1" t="s">
        <v>117</v>
      </c>
      <c r="W57" s="1" t="s">
        <v>77</v>
      </c>
      <c r="X57" s="1" t="s">
        <v>117</v>
      </c>
      <c r="Y57" s="1" t="s">
        <v>117</v>
      </c>
      <c r="Z57" s="1" t="s">
        <v>118</v>
      </c>
      <c r="AA57" s="13">
        <v>37</v>
      </c>
      <c r="AB57" s="13" t="s">
        <v>79</v>
      </c>
      <c r="AC57" s="13" t="s">
        <v>80</v>
      </c>
      <c r="AD57" s="3">
        <v>15.85848</v>
      </c>
      <c r="AE57" s="3">
        <v>5</v>
      </c>
      <c r="AF57" s="3">
        <v>2.185224</v>
      </c>
      <c r="AG57" s="4">
        <v>4.308012</v>
      </c>
      <c r="AH57" s="3">
        <v>2</v>
      </c>
      <c r="AI57" s="3">
        <v>1.061394</v>
      </c>
      <c r="AJ57" s="5" t="s">
        <v>81</v>
      </c>
      <c r="AK57" s="14">
        <v>2.936017</v>
      </c>
      <c r="AL57" s="14">
        <v>5</v>
      </c>
      <c r="AM57" s="14">
        <v>0.469556</v>
      </c>
      <c r="AN57" s="14">
        <v>0.464396</v>
      </c>
      <c r="AO57" s="14">
        <v>3</v>
      </c>
      <c r="AP57" s="14">
        <v>0.485036</v>
      </c>
      <c r="BH57" s="9" t="s">
        <v>82</v>
      </c>
      <c r="BI57" s="9" t="s">
        <v>82</v>
      </c>
      <c r="BJ57" s="10" t="str">
        <f t="shared" si="4"/>
        <v>subtropic</v>
      </c>
      <c r="BK57" s="11" t="s">
        <v>137</v>
      </c>
    </row>
    <row r="58" ht="42.75" spans="1:63">
      <c r="A58">
        <v>57</v>
      </c>
      <c r="B58" t="s">
        <v>334</v>
      </c>
      <c r="C58" t="s">
        <v>335</v>
      </c>
      <c r="D58" t="s">
        <v>336</v>
      </c>
      <c r="E58" t="s">
        <v>337</v>
      </c>
      <c r="F58">
        <v>2022</v>
      </c>
      <c r="G58" s="17" t="s">
        <v>338</v>
      </c>
      <c r="H58" t="s">
        <v>208</v>
      </c>
      <c r="I58">
        <v>-35</v>
      </c>
      <c r="J58">
        <v>-57.83</v>
      </c>
      <c r="K58">
        <v>14</v>
      </c>
      <c r="L58" t="s">
        <v>89</v>
      </c>
      <c r="M58" t="str">
        <f t="shared" si="3"/>
        <v>Group C</v>
      </c>
      <c r="N58" t="s">
        <v>182</v>
      </c>
      <c r="O58" t="s">
        <v>146</v>
      </c>
      <c r="P58" t="s">
        <v>339</v>
      </c>
      <c r="Q58" t="s">
        <v>72</v>
      </c>
      <c r="R58" t="s">
        <v>340</v>
      </c>
      <c r="S58" t="s">
        <v>341</v>
      </c>
      <c r="T58" t="s">
        <v>74</v>
      </c>
      <c r="U58" t="s">
        <v>75</v>
      </c>
      <c r="V58" s="1" t="s">
        <v>172</v>
      </c>
      <c r="X58" s="1" t="s">
        <v>172</v>
      </c>
      <c r="Y58" s="1" t="s">
        <v>172</v>
      </c>
      <c r="Z58" s="1" t="s">
        <v>173</v>
      </c>
      <c r="AA58" s="13">
        <v>37</v>
      </c>
      <c r="AB58" s="13" t="s">
        <v>79</v>
      </c>
      <c r="AC58" s="13" t="s">
        <v>80</v>
      </c>
      <c r="AD58" s="3">
        <v>10.80125</v>
      </c>
      <c r="AE58" s="3">
        <v>34</v>
      </c>
      <c r="AF58" s="3">
        <v>3.995838</v>
      </c>
      <c r="AG58" s="4">
        <v>9.42768</v>
      </c>
      <c r="AH58" s="3">
        <v>15</v>
      </c>
      <c r="AI58" s="3">
        <v>2.934443</v>
      </c>
      <c r="AJ58" s="5" t="s">
        <v>81</v>
      </c>
      <c r="AK58" s="14">
        <v>2.115583</v>
      </c>
      <c r="AL58" s="14">
        <v>29</v>
      </c>
      <c r="AM58" s="14">
        <v>0.727554</v>
      </c>
      <c r="AN58" s="14">
        <v>1.847265</v>
      </c>
      <c r="AO58" s="14">
        <v>31</v>
      </c>
      <c r="AP58" s="14">
        <v>0.598555</v>
      </c>
      <c r="BH58" s="9" t="s">
        <v>82</v>
      </c>
      <c r="BI58" s="9" t="s">
        <v>82</v>
      </c>
      <c r="BJ58" s="10" t="str">
        <f t="shared" si="4"/>
        <v>subtropic</v>
      </c>
      <c r="BK58" s="11" t="s">
        <v>137</v>
      </c>
    </row>
    <row r="59" ht="28.5" spans="1:63">
      <c r="A59">
        <v>58</v>
      </c>
      <c r="B59" t="s">
        <v>334</v>
      </c>
      <c r="C59" t="s">
        <v>335</v>
      </c>
      <c r="D59" t="s">
        <v>336</v>
      </c>
      <c r="E59" t="s">
        <v>337</v>
      </c>
      <c r="F59">
        <v>2022</v>
      </c>
      <c r="G59" s="17" t="s">
        <v>338</v>
      </c>
      <c r="H59" t="s">
        <v>208</v>
      </c>
      <c r="I59">
        <v>-35</v>
      </c>
      <c r="J59">
        <v>-57.83</v>
      </c>
      <c r="K59">
        <v>14</v>
      </c>
      <c r="L59" t="s">
        <v>89</v>
      </c>
      <c r="M59" t="str">
        <f t="shared" si="3"/>
        <v>Group C</v>
      </c>
      <c r="N59" t="s">
        <v>182</v>
      </c>
      <c r="O59" t="s">
        <v>146</v>
      </c>
      <c r="P59" t="s">
        <v>339</v>
      </c>
      <c r="Q59" t="s">
        <v>72</v>
      </c>
      <c r="R59" t="s">
        <v>340</v>
      </c>
      <c r="S59" t="s">
        <v>341</v>
      </c>
      <c r="T59" t="s">
        <v>74</v>
      </c>
      <c r="U59" t="s">
        <v>75</v>
      </c>
      <c r="V59" s="1" t="s">
        <v>344</v>
      </c>
      <c r="W59" s="1" t="s">
        <v>77</v>
      </c>
      <c r="X59" s="1" t="s">
        <v>344</v>
      </c>
      <c r="Y59" s="1" t="s">
        <v>344</v>
      </c>
      <c r="Z59" s="1" t="s">
        <v>344</v>
      </c>
      <c r="AA59" s="13">
        <v>37</v>
      </c>
      <c r="AB59" s="13" t="s">
        <v>79</v>
      </c>
      <c r="AC59" s="13" t="s">
        <v>80</v>
      </c>
      <c r="AD59" s="20">
        <v>8.42872</v>
      </c>
      <c r="AE59" s="21">
        <v>10</v>
      </c>
      <c r="AF59" s="20">
        <v>5.806452</v>
      </c>
      <c r="AG59" s="4">
        <v>16.10822</v>
      </c>
      <c r="AH59" s="21">
        <v>8</v>
      </c>
      <c r="AI59" s="20">
        <v>7.92924</v>
      </c>
      <c r="AJ59" s="5" t="s">
        <v>81</v>
      </c>
      <c r="AK59" s="14">
        <v>1.429309</v>
      </c>
      <c r="AL59" s="14">
        <v>11</v>
      </c>
      <c r="AM59" s="14">
        <v>0.670795</v>
      </c>
      <c r="AN59" s="14">
        <v>1.599587</v>
      </c>
      <c r="AO59" s="14">
        <v>9</v>
      </c>
      <c r="AP59" s="14">
        <v>0.908153</v>
      </c>
      <c r="BH59" s="9" t="s">
        <v>82</v>
      </c>
      <c r="BI59" s="9" t="s">
        <v>82</v>
      </c>
      <c r="BJ59" s="10" t="str">
        <f t="shared" si="4"/>
        <v>subtropic</v>
      </c>
      <c r="BK59" s="11" t="s">
        <v>137</v>
      </c>
    </row>
    <row r="60" ht="57" spans="1:63">
      <c r="A60">
        <v>59</v>
      </c>
      <c r="B60" t="s">
        <v>334</v>
      </c>
      <c r="C60" t="s">
        <v>335</v>
      </c>
      <c r="D60" t="s">
        <v>336</v>
      </c>
      <c r="E60" t="s">
        <v>337</v>
      </c>
      <c r="F60">
        <v>2022</v>
      </c>
      <c r="G60" s="12" t="s">
        <v>338</v>
      </c>
      <c r="H60" t="s">
        <v>208</v>
      </c>
      <c r="I60">
        <v>-35</v>
      </c>
      <c r="J60">
        <v>-57.83</v>
      </c>
      <c r="K60">
        <v>14</v>
      </c>
      <c r="L60" t="s">
        <v>89</v>
      </c>
      <c r="M60" t="str">
        <f t="shared" si="3"/>
        <v>Group C</v>
      </c>
      <c r="N60" t="s">
        <v>182</v>
      </c>
      <c r="O60" t="s">
        <v>146</v>
      </c>
      <c r="P60" t="s">
        <v>339</v>
      </c>
      <c r="Q60" t="s">
        <v>72</v>
      </c>
      <c r="R60" t="s">
        <v>340</v>
      </c>
      <c r="S60" t="s">
        <v>341</v>
      </c>
      <c r="T60" t="s">
        <v>74</v>
      </c>
      <c r="U60" t="s">
        <v>90</v>
      </c>
      <c r="V60" s="1" t="s">
        <v>345</v>
      </c>
      <c r="W60" s="1" t="s">
        <v>77</v>
      </c>
      <c r="X60" s="1" t="s">
        <v>240</v>
      </c>
      <c r="Y60" s="1" t="s">
        <v>241</v>
      </c>
      <c r="Z60" s="1" t="s">
        <v>241</v>
      </c>
      <c r="AA60" s="13">
        <v>37</v>
      </c>
      <c r="AB60" s="13" t="s">
        <v>79</v>
      </c>
      <c r="AC60" s="13" t="s">
        <v>80</v>
      </c>
      <c r="AD60" s="3">
        <v>42.83039</v>
      </c>
      <c r="AE60" s="3">
        <v>11</v>
      </c>
      <c r="AF60" s="3">
        <v>11.98751</v>
      </c>
      <c r="AG60" s="4">
        <v>30.03122</v>
      </c>
      <c r="AH60" s="3">
        <v>8</v>
      </c>
      <c r="AI60" s="3">
        <v>8.80333</v>
      </c>
      <c r="AJ60" s="5" t="s">
        <v>81</v>
      </c>
      <c r="AK60" s="14">
        <v>3.441692</v>
      </c>
      <c r="AL60" s="14">
        <v>13</v>
      </c>
      <c r="AM60" s="14">
        <v>0.975232</v>
      </c>
      <c r="AN60" s="14">
        <v>2.50774</v>
      </c>
      <c r="AO60" s="14">
        <v>9</v>
      </c>
      <c r="AP60" s="14">
        <v>1.124871</v>
      </c>
      <c r="BH60" s="9" t="s">
        <v>82</v>
      </c>
      <c r="BI60" s="9" t="s">
        <v>82</v>
      </c>
      <c r="BJ60" s="10" t="str">
        <f t="shared" si="4"/>
        <v>subtropic</v>
      </c>
      <c r="BK60" s="11" t="s">
        <v>137</v>
      </c>
    </row>
    <row r="61" ht="28.5" spans="1:63">
      <c r="A61">
        <v>60</v>
      </c>
      <c r="B61" t="s">
        <v>346</v>
      </c>
      <c r="C61" t="s">
        <v>347</v>
      </c>
      <c r="D61" t="s">
        <v>348</v>
      </c>
      <c r="E61" t="s">
        <v>349</v>
      </c>
      <c r="F61">
        <v>2022</v>
      </c>
      <c r="G61" s="12" t="s">
        <v>350</v>
      </c>
      <c r="H61" t="s">
        <v>68</v>
      </c>
      <c r="I61">
        <v>31.5</v>
      </c>
      <c r="J61">
        <v>117.25</v>
      </c>
      <c r="K61">
        <v>14</v>
      </c>
      <c r="L61" t="s">
        <v>89</v>
      </c>
      <c r="M61" t="str">
        <f t="shared" ref="M61:M91" si="5">"Group "&amp;LEFT(L61,1)</f>
        <v>Group C</v>
      </c>
      <c r="N61" t="s">
        <v>70</v>
      </c>
      <c r="O61" t="s">
        <v>71</v>
      </c>
      <c r="P61" t="s">
        <v>72</v>
      </c>
      <c r="Q61" t="s">
        <v>72</v>
      </c>
      <c r="R61" t="s">
        <v>72</v>
      </c>
      <c r="S61" t="s">
        <v>73</v>
      </c>
      <c r="T61" t="s">
        <v>74</v>
      </c>
      <c r="U61" t="s">
        <v>75</v>
      </c>
      <c r="V61" s="1" t="s">
        <v>76</v>
      </c>
      <c r="W61" s="1" t="s">
        <v>77</v>
      </c>
      <c r="X61" s="1" t="s">
        <v>76</v>
      </c>
      <c r="Y61" s="1" t="s">
        <v>76</v>
      </c>
      <c r="Z61" s="1" t="s">
        <v>78</v>
      </c>
      <c r="AA61" s="13">
        <v>49</v>
      </c>
      <c r="AB61" s="13" t="s">
        <v>79</v>
      </c>
      <c r="AC61" s="13" t="s">
        <v>80</v>
      </c>
      <c r="AD61" s="3">
        <v>51.8</v>
      </c>
      <c r="AE61" s="3">
        <v>3</v>
      </c>
      <c r="AF61" s="3">
        <v>11.23</v>
      </c>
      <c r="AG61" s="4">
        <v>41</v>
      </c>
      <c r="AH61" s="3">
        <v>3</v>
      </c>
      <c r="AI61" s="3">
        <v>8.44</v>
      </c>
      <c r="AJ61" s="5" t="s">
        <v>81</v>
      </c>
      <c r="AK61" s="14">
        <v>2.71</v>
      </c>
      <c r="AL61" s="14">
        <v>3</v>
      </c>
      <c r="AM61" s="14">
        <v>0.53</v>
      </c>
      <c r="AN61" s="14">
        <v>2.36</v>
      </c>
      <c r="AO61" s="14">
        <v>3</v>
      </c>
      <c r="AP61" s="14">
        <v>0.67</v>
      </c>
      <c r="BE61" s="8" t="s">
        <v>102</v>
      </c>
      <c r="BH61" s="9" t="s">
        <v>82</v>
      </c>
      <c r="BI61" s="9" t="s">
        <v>82</v>
      </c>
      <c r="BJ61" s="10" t="str">
        <f t="shared" si="4"/>
        <v>subtropic</v>
      </c>
      <c r="BK61" s="11" t="s">
        <v>137</v>
      </c>
    </row>
    <row r="62" ht="28.5" spans="1:63">
      <c r="A62">
        <v>61</v>
      </c>
      <c r="B62" t="s">
        <v>346</v>
      </c>
      <c r="C62" t="s">
        <v>347</v>
      </c>
      <c r="D62" t="s">
        <v>348</v>
      </c>
      <c r="E62" t="s">
        <v>349</v>
      </c>
      <c r="F62">
        <v>2022</v>
      </c>
      <c r="G62" s="12" t="s">
        <v>350</v>
      </c>
      <c r="H62" t="s">
        <v>68</v>
      </c>
      <c r="I62">
        <v>31.5</v>
      </c>
      <c r="J62">
        <v>117.25</v>
      </c>
      <c r="K62">
        <v>14</v>
      </c>
      <c r="L62" t="s">
        <v>89</v>
      </c>
      <c r="M62" t="str">
        <f t="shared" si="5"/>
        <v>Group C</v>
      </c>
      <c r="N62" t="s">
        <v>70</v>
      </c>
      <c r="O62" t="s">
        <v>71</v>
      </c>
      <c r="P62" t="s">
        <v>72</v>
      </c>
      <c r="Q62" t="s">
        <v>72</v>
      </c>
      <c r="R62" t="s">
        <v>72</v>
      </c>
      <c r="S62" t="s">
        <v>73</v>
      </c>
      <c r="T62" t="s">
        <v>74</v>
      </c>
      <c r="U62" t="s">
        <v>75</v>
      </c>
      <c r="V62" s="1" t="s">
        <v>76</v>
      </c>
      <c r="X62" s="1" t="s">
        <v>76</v>
      </c>
      <c r="Y62" s="1" t="s">
        <v>76</v>
      </c>
      <c r="Z62" s="1" t="s">
        <v>78</v>
      </c>
      <c r="AA62" s="13">
        <v>49</v>
      </c>
      <c r="AB62" s="13" t="s">
        <v>79</v>
      </c>
      <c r="AC62" s="13" t="s">
        <v>80</v>
      </c>
      <c r="AD62" s="3">
        <v>34.33</v>
      </c>
      <c r="AE62" s="3">
        <v>3</v>
      </c>
      <c r="AF62" s="3">
        <v>3.3</v>
      </c>
      <c r="AG62" s="4">
        <v>35</v>
      </c>
      <c r="AH62" s="3">
        <v>3</v>
      </c>
      <c r="AI62" s="3">
        <v>2.94</v>
      </c>
      <c r="AJ62" s="5" t="s">
        <v>81</v>
      </c>
      <c r="AK62" s="14">
        <v>3</v>
      </c>
      <c r="AL62" s="14">
        <v>3</v>
      </c>
      <c r="AM62" s="14">
        <v>0.13</v>
      </c>
      <c r="AN62" s="14">
        <v>3.02</v>
      </c>
      <c r="AO62" s="14">
        <v>3</v>
      </c>
      <c r="AP62" s="14">
        <v>0.07</v>
      </c>
      <c r="BE62" s="8" t="s">
        <v>99</v>
      </c>
      <c r="BH62" s="9" t="s">
        <v>82</v>
      </c>
      <c r="BI62" s="9" t="s">
        <v>82</v>
      </c>
      <c r="BJ62" s="10" t="str">
        <f t="shared" si="4"/>
        <v>subtropic</v>
      </c>
      <c r="BK62" s="11" t="s">
        <v>137</v>
      </c>
    </row>
    <row r="63" ht="28.5" spans="1:63">
      <c r="A63">
        <v>62</v>
      </c>
      <c r="B63" t="s">
        <v>346</v>
      </c>
      <c r="C63" t="s">
        <v>347</v>
      </c>
      <c r="D63" t="s">
        <v>348</v>
      </c>
      <c r="E63" t="s">
        <v>349</v>
      </c>
      <c r="F63">
        <v>2022</v>
      </c>
      <c r="G63" s="12" t="s">
        <v>350</v>
      </c>
      <c r="H63" t="s">
        <v>68</v>
      </c>
      <c r="I63">
        <v>31.5</v>
      </c>
      <c r="J63">
        <v>117.25</v>
      </c>
      <c r="K63">
        <v>14</v>
      </c>
      <c r="L63" t="s">
        <v>89</v>
      </c>
      <c r="M63" t="str">
        <f t="shared" si="5"/>
        <v>Group C</v>
      </c>
      <c r="N63" t="s">
        <v>70</v>
      </c>
      <c r="O63" t="s">
        <v>71</v>
      </c>
      <c r="P63" t="s">
        <v>72</v>
      </c>
      <c r="Q63" t="s">
        <v>72</v>
      </c>
      <c r="R63" t="s">
        <v>72</v>
      </c>
      <c r="S63" t="s">
        <v>73</v>
      </c>
      <c r="T63" t="s">
        <v>74</v>
      </c>
      <c r="U63" t="s">
        <v>75</v>
      </c>
      <c r="V63" s="1" t="s">
        <v>76</v>
      </c>
      <c r="X63" s="1" t="s">
        <v>76</v>
      </c>
      <c r="Y63" s="1" t="s">
        <v>76</v>
      </c>
      <c r="Z63" s="1" t="s">
        <v>78</v>
      </c>
      <c r="AA63" s="13">
        <v>49</v>
      </c>
      <c r="AB63" s="13" t="s">
        <v>79</v>
      </c>
      <c r="AC63" s="13" t="s">
        <v>80</v>
      </c>
      <c r="AD63" s="3">
        <v>50.5</v>
      </c>
      <c r="AE63" s="3">
        <v>3</v>
      </c>
      <c r="AF63" s="3">
        <v>3.5</v>
      </c>
      <c r="AG63" s="4">
        <v>40.5</v>
      </c>
      <c r="AH63" s="3">
        <v>3</v>
      </c>
      <c r="AI63" s="3">
        <v>0.5</v>
      </c>
      <c r="AJ63" s="5" t="s">
        <v>81</v>
      </c>
      <c r="AK63" s="14">
        <v>3.47</v>
      </c>
      <c r="AL63" s="14">
        <v>3</v>
      </c>
      <c r="AM63" s="14">
        <v>0.06</v>
      </c>
      <c r="AN63" s="14">
        <v>3.32</v>
      </c>
      <c r="AO63" s="14">
        <v>3</v>
      </c>
      <c r="AP63" s="14">
        <v>0.02</v>
      </c>
      <c r="BE63" s="8" t="s">
        <v>138</v>
      </c>
      <c r="BH63" s="9" t="s">
        <v>82</v>
      </c>
      <c r="BI63" s="9" t="s">
        <v>82</v>
      </c>
      <c r="BJ63" s="10" t="str">
        <f t="shared" si="4"/>
        <v>subtropic</v>
      </c>
      <c r="BK63" s="11" t="s">
        <v>137</v>
      </c>
    </row>
    <row r="64" ht="28.5" spans="1:63">
      <c r="A64">
        <v>63</v>
      </c>
      <c r="B64" t="s">
        <v>346</v>
      </c>
      <c r="C64" t="s">
        <v>347</v>
      </c>
      <c r="D64" t="s">
        <v>348</v>
      </c>
      <c r="E64" t="s">
        <v>349</v>
      </c>
      <c r="F64">
        <v>2022</v>
      </c>
      <c r="G64" s="12" t="s">
        <v>350</v>
      </c>
      <c r="H64" t="s">
        <v>68</v>
      </c>
      <c r="I64">
        <v>31.5</v>
      </c>
      <c r="J64">
        <v>117.25</v>
      </c>
      <c r="K64">
        <v>14</v>
      </c>
      <c r="L64" t="s">
        <v>89</v>
      </c>
      <c r="M64" t="str">
        <f t="shared" si="5"/>
        <v>Group C</v>
      </c>
      <c r="N64" t="s">
        <v>70</v>
      </c>
      <c r="O64" t="s">
        <v>71</v>
      </c>
      <c r="P64" t="s">
        <v>72</v>
      </c>
      <c r="Q64" t="s">
        <v>72</v>
      </c>
      <c r="R64" t="s">
        <v>72</v>
      </c>
      <c r="S64" t="s">
        <v>73</v>
      </c>
      <c r="T64" t="s">
        <v>74</v>
      </c>
      <c r="U64" t="s">
        <v>75</v>
      </c>
      <c r="V64" s="1" t="s">
        <v>76</v>
      </c>
      <c r="X64" s="1" t="s">
        <v>76</v>
      </c>
      <c r="Y64" s="1" t="s">
        <v>76</v>
      </c>
      <c r="Z64" s="1" t="s">
        <v>78</v>
      </c>
      <c r="AA64" s="13">
        <v>49</v>
      </c>
      <c r="AB64" s="13" t="s">
        <v>79</v>
      </c>
      <c r="AC64" s="13" t="s">
        <v>80</v>
      </c>
      <c r="AD64" s="3">
        <v>34.5</v>
      </c>
      <c r="AE64" s="3">
        <v>3</v>
      </c>
      <c r="AF64" s="3">
        <v>0.5</v>
      </c>
      <c r="AG64" s="4">
        <v>35.5</v>
      </c>
      <c r="AH64" s="3">
        <v>3</v>
      </c>
      <c r="AI64" s="3">
        <v>1.5</v>
      </c>
      <c r="AJ64" s="5" t="s">
        <v>81</v>
      </c>
      <c r="AK64" s="14">
        <v>3.17</v>
      </c>
      <c r="AL64" s="14">
        <v>3</v>
      </c>
      <c r="AM64" s="14">
        <v>0.01</v>
      </c>
      <c r="AN64" s="14">
        <v>3.15</v>
      </c>
      <c r="AO64" s="14">
        <v>3</v>
      </c>
      <c r="AP64" s="14">
        <v>0.04</v>
      </c>
      <c r="BE64" s="8" t="s">
        <v>135</v>
      </c>
      <c r="BH64" s="9" t="s">
        <v>82</v>
      </c>
      <c r="BI64" s="9" t="s">
        <v>82</v>
      </c>
      <c r="BJ64" s="10" t="str">
        <f t="shared" si="4"/>
        <v>subtropic</v>
      </c>
      <c r="BK64" s="11" t="s">
        <v>137</v>
      </c>
    </row>
    <row r="65" ht="28.5" spans="1:63">
      <c r="A65">
        <v>64</v>
      </c>
      <c r="B65" t="s">
        <v>351</v>
      </c>
      <c r="C65" t="s">
        <v>352</v>
      </c>
      <c r="D65" t="s">
        <v>353</v>
      </c>
      <c r="E65" t="s">
        <v>354</v>
      </c>
      <c r="F65">
        <v>2022</v>
      </c>
      <c r="G65" s="12" t="s">
        <v>355</v>
      </c>
      <c r="H65" t="s">
        <v>356</v>
      </c>
      <c r="I65">
        <v>-33.3856</v>
      </c>
      <c r="J65">
        <v>150.4865</v>
      </c>
      <c r="K65">
        <v>15</v>
      </c>
      <c r="L65" t="s">
        <v>357</v>
      </c>
      <c r="M65" t="str">
        <f t="shared" si="5"/>
        <v>Group C</v>
      </c>
      <c r="N65" t="s">
        <v>182</v>
      </c>
      <c r="O65" t="s">
        <v>358</v>
      </c>
      <c r="P65" t="s">
        <v>359</v>
      </c>
      <c r="Q65" t="s">
        <v>267</v>
      </c>
      <c r="R65" t="s">
        <v>268</v>
      </c>
      <c r="S65" t="s">
        <v>360</v>
      </c>
      <c r="T65" t="s">
        <v>74</v>
      </c>
      <c r="U65" t="s">
        <v>90</v>
      </c>
      <c r="V65" s="1" t="s">
        <v>92</v>
      </c>
      <c r="X65" s="1" t="s">
        <v>92</v>
      </c>
      <c r="Y65" s="1" t="s">
        <v>92</v>
      </c>
      <c r="Z65" s="1" t="s">
        <v>92</v>
      </c>
      <c r="AA65" s="13">
        <v>15.37</v>
      </c>
      <c r="AB65" s="13" t="s">
        <v>79</v>
      </c>
      <c r="AC65" s="13" t="s">
        <v>80</v>
      </c>
      <c r="AD65" s="3">
        <v>747.583243</v>
      </c>
      <c r="AE65" s="3">
        <v>3</v>
      </c>
      <c r="AF65" s="3">
        <f>-(747.583243823844-812.030075187969)</f>
        <v>64.446831364125</v>
      </c>
      <c r="AG65" s="4">
        <v>1019.87110633</v>
      </c>
      <c r="AH65" s="3">
        <v>3</v>
      </c>
      <c r="AI65" s="3">
        <f>-(1019.87110633727-1174.54350161117)</f>
        <v>154.6723952739</v>
      </c>
      <c r="AJ65" s="5" t="s">
        <v>81</v>
      </c>
      <c r="AK65" s="14">
        <v>4.146981</v>
      </c>
      <c r="AL65" s="14">
        <v>3</v>
      </c>
      <c r="AM65" s="14">
        <v>0.11286089238846</v>
      </c>
      <c r="AN65" s="14">
        <v>4.587926509</v>
      </c>
      <c r="AO65" s="14">
        <v>3</v>
      </c>
      <c r="AP65" s="14">
        <v>0.272965879265089</v>
      </c>
      <c r="BH65" s="9" t="s">
        <v>361</v>
      </c>
      <c r="BI65" s="9" t="s">
        <v>126</v>
      </c>
      <c r="BJ65" s="10" t="str">
        <f t="shared" si="4"/>
        <v>subtropic</v>
      </c>
      <c r="BK65" s="11" t="s">
        <v>164</v>
      </c>
    </row>
    <row r="66" ht="28.5" spans="1:63">
      <c r="A66">
        <v>65</v>
      </c>
      <c r="B66" t="s">
        <v>351</v>
      </c>
      <c r="C66" t="s">
        <v>352</v>
      </c>
      <c r="D66" t="s">
        <v>353</v>
      </c>
      <c r="E66" t="s">
        <v>354</v>
      </c>
      <c r="F66">
        <v>2022</v>
      </c>
      <c r="G66" s="12" t="s">
        <v>355</v>
      </c>
      <c r="H66" t="s">
        <v>356</v>
      </c>
      <c r="I66">
        <v>-33.3856</v>
      </c>
      <c r="J66">
        <v>150.4865</v>
      </c>
      <c r="K66">
        <v>15</v>
      </c>
      <c r="L66" t="s">
        <v>357</v>
      </c>
      <c r="M66" t="str">
        <f t="shared" si="5"/>
        <v>Group C</v>
      </c>
      <c r="N66" t="s">
        <v>182</v>
      </c>
      <c r="O66" t="s">
        <v>358</v>
      </c>
      <c r="P66" t="s">
        <v>359</v>
      </c>
      <c r="Q66" t="s">
        <v>267</v>
      </c>
      <c r="R66" t="s">
        <v>268</v>
      </c>
      <c r="S66" t="s">
        <v>360</v>
      </c>
      <c r="T66" t="s">
        <v>74</v>
      </c>
      <c r="U66" t="s">
        <v>90</v>
      </c>
      <c r="V66" s="1" t="s">
        <v>92</v>
      </c>
      <c r="X66" s="1" t="s">
        <v>92</v>
      </c>
      <c r="Y66" s="1" t="s">
        <v>92</v>
      </c>
      <c r="Z66" s="1" t="s">
        <v>92</v>
      </c>
      <c r="AA66" s="13">
        <v>15.37</v>
      </c>
      <c r="AB66" s="13" t="s">
        <v>79</v>
      </c>
      <c r="AC66" s="13" t="s">
        <v>80</v>
      </c>
      <c r="AD66" s="3">
        <v>499.462943071</v>
      </c>
      <c r="AE66" s="3">
        <v>3</v>
      </c>
      <c r="AF66" s="3">
        <f>-(499.462943071964-552.631578947367)</f>
        <v>53.168635875403</v>
      </c>
      <c r="AG66" s="4">
        <v>571.96562835</v>
      </c>
      <c r="AH66" s="3">
        <v>3</v>
      </c>
      <c r="AI66" s="3">
        <f>-(571.965628356605-673.469387755101)</f>
        <v>101.503759398496</v>
      </c>
      <c r="AJ66" s="5" t="s">
        <v>81</v>
      </c>
      <c r="AK66" s="14">
        <v>3.5170603</v>
      </c>
      <c r="AL66" s="14">
        <v>3</v>
      </c>
      <c r="AM66" s="14">
        <f>-(3.51706036745407-3.70603674540682)</f>
        <v>0.18897637795275</v>
      </c>
      <c r="AN66" s="14">
        <v>3.88976377</v>
      </c>
      <c r="AO66" s="14">
        <v>3</v>
      </c>
      <c r="AP66" s="14">
        <f>-(3.88976377952755-4.12335958005249)</f>
        <v>0.23359580052494</v>
      </c>
      <c r="BH66" s="9" t="s">
        <v>361</v>
      </c>
      <c r="BI66" s="9" t="s">
        <v>126</v>
      </c>
      <c r="BJ66" s="10" t="str">
        <f t="shared" si="4"/>
        <v>subtropic</v>
      </c>
      <c r="BK66" s="11" t="s">
        <v>164</v>
      </c>
    </row>
    <row r="67" ht="28.5" spans="1:63">
      <c r="A67">
        <v>66</v>
      </c>
      <c r="B67" t="s">
        <v>362</v>
      </c>
      <c r="C67" t="s">
        <v>363</v>
      </c>
      <c r="D67" t="s">
        <v>364</v>
      </c>
      <c r="E67" t="s">
        <v>365</v>
      </c>
      <c r="F67">
        <v>2022</v>
      </c>
      <c r="G67" s="12" t="s">
        <v>366</v>
      </c>
      <c r="H67" t="s">
        <v>276</v>
      </c>
      <c r="I67">
        <v>46.8772</v>
      </c>
      <c r="J67">
        <v>-96.7898</v>
      </c>
      <c r="K67">
        <v>25</v>
      </c>
      <c r="L67" t="s">
        <v>216</v>
      </c>
      <c r="M67" t="str">
        <f t="shared" si="5"/>
        <v>Group D</v>
      </c>
      <c r="N67" t="s">
        <v>182</v>
      </c>
      <c r="O67" t="s">
        <v>183</v>
      </c>
      <c r="P67" t="s">
        <v>277</v>
      </c>
      <c r="Q67" t="s">
        <v>278</v>
      </c>
      <c r="R67" t="s">
        <v>277</v>
      </c>
      <c r="S67" t="s">
        <v>279</v>
      </c>
      <c r="T67" t="s">
        <v>280</v>
      </c>
      <c r="U67" t="s">
        <v>191</v>
      </c>
      <c r="V67" s="1" t="s">
        <v>367</v>
      </c>
      <c r="X67" s="1" t="s">
        <v>191</v>
      </c>
      <c r="Y67" s="1" t="s">
        <v>191</v>
      </c>
      <c r="Z67" s="1" t="s">
        <v>191</v>
      </c>
      <c r="AA67" s="13">
        <v>35.4</v>
      </c>
      <c r="AB67" s="13" t="s">
        <v>79</v>
      </c>
      <c r="AC67" s="13" t="s">
        <v>80</v>
      </c>
      <c r="AQ67" s="7">
        <v>9</v>
      </c>
      <c r="AR67" s="15" t="s">
        <v>149</v>
      </c>
      <c r="AS67" s="15" t="s">
        <v>150</v>
      </c>
      <c r="AT67" s="7" t="s">
        <v>122</v>
      </c>
      <c r="AU67" s="7">
        <v>0.664533</v>
      </c>
      <c r="AV67" s="7">
        <v>45</v>
      </c>
      <c r="AW67" s="7">
        <v>0.357163</v>
      </c>
      <c r="AX67" s="7">
        <v>1.160209</v>
      </c>
      <c r="AY67" s="7">
        <v>45</v>
      </c>
      <c r="AZ67" s="7">
        <v>0.650225</v>
      </c>
      <c r="BA67" s="7">
        <v>1.698073</v>
      </c>
      <c r="BB67" s="7">
        <v>100</v>
      </c>
      <c r="BC67" s="7">
        <v>0.68389</v>
      </c>
      <c r="BD67" s="29" t="s">
        <v>98</v>
      </c>
      <c r="BG67" s="7" t="s">
        <v>368</v>
      </c>
      <c r="BH67" s="9" t="s">
        <v>82</v>
      </c>
      <c r="BI67" s="9" t="s">
        <v>82</v>
      </c>
      <c r="BJ67" s="10" t="str">
        <f t="shared" si="4"/>
        <v>temperate</v>
      </c>
      <c r="BK67" s="11" t="s">
        <v>137</v>
      </c>
    </row>
    <row r="68" ht="28.5" spans="1:63">
      <c r="A68">
        <v>67</v>
      </c>
      <c r="B68" t="s">
        <v>362</v>
      </c>
      <c r="C68" t="s">
        <v>363</v>
      </c>
      <c r="D68" t="s">
        <v>364</v>
      </c>
      <c r="E68" t="s">
        <v>365</v>
      </c>
      <c r="F68">
        <v>2022</v>
      </c>
      <c r="G68" s="12" t="s">
        <v>366</v>
      </c>
      <c r="H68" t="s">
        <v>276</v>
      </c>
      <c r="I68">
        <v>46.8772</v>
      </c>
      <c r="J68">
        <v>-96.7898</v>
      </c>
      <c r="K68">
        <v>25</v>
      </c>
      <c r="L68" t="s">
        <v>216</v>
      </c>
      <c r="M68" t="str">
        <f t="shared" si="5"/>
        <v>Group D</v>
      </c>
      <c r="N68" t="s">
        <v>182</v>
      </c>
      <c r="O68" t="s">
        <v>183</v>
      </c>
      <c r="P68" t="s">
        <v>277</v>
      </c>
      <c r="Q68" t="s">
        <v>278</v>
      </c>
      <c r="R68" t="s">
        <v>277</v>
      </c>
      <c r="S68" t="s">
        <v>279</v>
      </c>
      <c r="T68" t="s">
        <v>280</v>
      </c>
      <c r="U68" t="s">
        <v>191</v>
      </c>
      <c r="V68" s="1" t="s">
        <v>369</v>
      </c>
      <c r="X68" s="1" t="s">
        <v>191</v>
      </c>
      <c r="Y68" s="1" t="s">
        <v>191</v>
      </c>
      <c r="Z68" s="1" t="s">
        <v>191</v>
      </c>
      <c r="AA68" s="13">
        <v>35.4</v>
      </c>
      <c r="AB68" s="13" t="s">
        <v>79</v>
      </c>
      <c r="AC68" s="13" t="s">
        <v>80</v>
      </c>
      <c r="AQ68" s="7">
        <v>34</v>
      </c>
      <c r="AR68" s="15" t="s">
        <v>149</v>
      </c>
      <c r="AS68" s="15" t="s">
        <v>150</v>
      </c>
      <c r="AT68" s="7" t="s">
        <v>122</v>
      </c>
      <c r="AU68" s="7">
        <v>0.611064</v>
      </c>
      <c r="AV68" s="7">
        <v>45</v>
      </c>
      <c r="AW68" s="7">
        <v>0.375942</v>
      </c>
      <c r="AX68" s="7">
        <v>0.764626</v>
      </c>
      <c r="AY68" s="7">
        <v>45</v>
      </c>
      <c r="AZ68" s="7">
        <v>0.428332</v>
      </c>
      <c r="BA68" s="7">
        <v>0.822055</v>
      </c>
      <c r="BB68" s="7">
        <v>100</v>
      </c>
      <c r="BC68" s="7">
        <v>0.355481</v>
      </c>
      <c r="BD68" s="29" t="s">
        <v>98</v>
      </c>
      <c r="BG68" s="7" t="s">
        <v>368</v>
      </c>
      <c r="BH68" s="9" t="s">
        <v>82</v>
      </c>
      <c r="BI68" s="9" t="s">
        <v>82</v>
      </c>
      <c r="BJ68" s="10" t="str">
        <f t="shared" si="4"/>
        <v>temperate</v>
      </c>
      <c r="BK68" s="11" t="s">
        <v>137</v>
      </c>
    </row>
    <row r="69" ht="42.75" spans="1:63">
      <c r="A69">
        <v>68</v>
      </c>
      <c r="B69" t="s">
        <v>370</v>
      </c>
      <c r="C69" t="s">
        <v>371</v>
      </c>
      <c r="D69" t="s">
        <v>372</v>
      </c>
      <c r="E69" t="s">
        <v>373</v>
      </c>
      <c r="F69">
        <v>2022</v>
      </c>
      <c r="G69" s="12" t="s">
        <v>374</v>
      </c>
      <c r="H69" t="s">
        <v>237</v>
      </c>
      <c r="I69">
        <v>50.0028</v>
      </c>
      <c r="J69">
        <v>22.0279</v>
      </c>
      <c r="K69">
        <v>26</v>
      </c>
      <c r="L69" t="s">
        <v>181</v>
      </c>
      <c r="M69" t="str">
        <f t="shared" si="5"/>
        <v>Group D</v>
      </c>
      <c r="N69" t="s">
        <v>182</v>
      </c>
      <c r="O69" t="s">
        <v>183</v>
      </c>
      <c r="P69" t="s">
        <v>147</v>
      </c>
      <c r="Q69" t="s">
        <v>72</v>
      </c>
      <c r="R69" t="s">
        <v>147</v>
      </c>
      <c r="S69" t="s">
        <v>148</v>
      </c>
      <c r="T69" t="s">
        <v>74</v>
      </c>
      <c r="U69" t="s">
        <v>75</v>
      </c>
      <c r="V69" s="1" t="s">
        <v>172</v>
      </c>
      <c r="X69" s="1" t="s">
        <v>172</v>
      </c>
      <c r="Y69" s="1" t="s">
        <v>286</v>
      </c>
      <c r="Z69" s="1" t="s">
        <v>287</v>
      </c>
      <c r="AA69" s="13">
        <v>2</v>
      </c>
      <c r="AB69" s="13" t="s">
        <v>192</v>
      </c>
      <c r="AC69" s="13" t="s">
        <v>80</v>
      </c>
      <c r="AD69" s="3">
        <v>33.955</v>
      </c>
      <c r="AE69" s="3">
        <v>10</v>
      </c>
      <c r="AF69" s="3">
        <f>(34.654683065279-33.3112582781456)/1.35</f>
        <v>0.995129471950667</v>
      </c>
      <c r="AG69" s="4">
        <v>17.833</v>
      </c>
      <c r="AH69" s="3">
        <v>10</v>
      </c>
      <c r="AI69" s="3">
        <f>(19.3850520340586-16.3008514664143)/1.35</f>
        <v>2.28459301306985</v>
      </c>
      <c r="AJ69" s="5" t="s">
        <v>81</v>
      </c>
      <c r="AK69" s="14">
        <v>2.1949526</v>
      </c>
      <c r="AL69" s="14">
        <v>10</v>
      </c>
      <c r="AM69" s="14">
        <f>(2.37539432176656-2.00694006309148)/1.35</f>
        <v>0.272929080500059</v>
      </c>
      <c r="AN69" s="14">
        <v>1.5754</v>
      </c>
      <c r="AO69" s="14">
        <v>10</v>
      </c>
      <c r="AP69" s="6">
        <f>(1.80883280757097-1.34447949526813)/1.35</f>
        <v>0.343965416520622</v>
      </c>
      <c r="BH69" s="9" t="s">
        <v>82</v>
      </c>
      <c r="BI69" s="9" t="s">
        <v>82</v>
      </c>
      <c r="BJ69" s="10" t="str">
        <f t="shared" si="4"/>
        <v>temperate</v>
      </c>
      <c r="BK69" s="11" t="s">
        <v>127</v>
      </c>
    </row>
    <row r="70" ht="28.5" spans="1:63">
      <c r="A70">
        <v>69</v>
      </c>
      <c r="B70" t="s">
        <v>375</v>
      </c>
      <c r="C70" t="s">
        <v>376</v>
      </c>
      <c r="D70" t="s">
        <v>377</v>
      </c>
      <c r="E70" t="s">
        <v>378</v>
      </c>
      <c r="F70">
        <v>2022</v>
      </c>
      <c r="G70" s="12" t="s">
        <v>379</v>
      </c>
      <c r="H70" t="s">
        <v>68</v>
      </c>
      <c r="I70">
        <v>28</v>
      </c>
      <c r="J70">
        <v>113</v>
      </c>
      <c r="K70">
        <v>14</v>
      </c>
      <c r="L70" t="s">
        <v>89</v>
      </c>
      <c r="M70" t="str">
        <f t="shared" si="5"/>
        <v>Group C</v>
      </c>
      <c r="N70" t="s">
        <v>70</v>
      </c>
      <c r="O70" t="s">
        <v>71</v>
      </c>
      <c r="P70" t="s">
        <v>72</v>
      </c>
      <c r="Q70" t="s">
        <v>72</v>
      </c>
      <c r="R70" t="s">
        <v>72</v>
      </c>
      <c r="S70" t="s">
        <v>73</v>
      </c>
      <c r="T70" t="s">
        <v>74</v>
      </c>
      <c r="U70" t="s">
        <v>90</v>
      </c>
      <c r="V70" s="1" t="s">
        <v>380</v>
      </c>
      <c r="X70" s="1" t="s">
        <v>92</v>
      </c>
      <c r="Y70" s="1" t="s">
        <v>92</v>
      </c>
      <c r="Z70" s="1" t="s">
        <v>92</v>
      </c>
      <c r="AA70" s="13">
        <v>256</v>
      </c>
      <c r="AB70" s="13" t="s">
        <v>93</v>
      </c>
      <c r="AC70" s="13" t="s">
        <v>94</v>
      </c>
      <c r="AD70" s="3">
        <v>1069.196</v>
      </c>
      <c r="AE70" s="3">
        <v>15</v>
      </c>
      <c r="AF70" s="3">
        <v>211.031</v>
      </c>
      <c r="AG70" s="4">
        <v>796.174</v>
      </c>
      <c r="AH70" s="3">
        <v>15</v>
      </c>
      <c r="AI70" s="3">
        <v>144.389</v>
      </c>
      <c r="AJ70" s="5" t="s">
        <v>81</v>
      </c>
      <c r="AK70" s="14">
        <v>5.618</v>
      </c>
      <c r="AL70" s="14">
        <v>15</v>
      </c>
      <c r="AM70" s="14">
        <v>0.232</v>
      </c>
      <c r="AN70" s="14">
        <v>4.763</v>
      </c>
      <c r="AO70" s="14">
        <v>15</v>
      </c>
      <c r="AP70" s="14">
        <v>0.418</v>
      </c>
      <c r="AQ70" s="7">
        <v>10</v>
      </c>
      <c r="AR70" s="15" t="s">
        <v>381</v>
      </c>
      <c r="AS70" s="15" t="s">
        <v>382</v>
      </c>
      <c r="AT70" s="7" t="s">
        <v>122</v>
      </c>
      <c r="AU70" s="7">
        <v>0.402016</v>
      </c>
      <c r="AV70" s="7">
        <v>120</v>
      </c>
      <c r="AW70" s="7">
        <v>0.196534</v>
      </c>
      <c r="AX70" s="7">
        <v>0.203381</v>
      </c>
      <c r="AY70" s="7">
        <v>91</v>
      </c>
      <c r="AZ70" s="7">
        <v>0.119445</v>
      </c>
      <c r="BA70" s="7">
        <v>0.339215</v>
      </c>
      <c r="BB70" s="7">
        <v>224</v>
      </c>
      <c r="BC70" s="7">
        <v>0.157746</v>
      </c>
      <c r="BD70" s="29" t="s">
        <v>98</v>
      </c>
      <c r="BG70" s="7" t="s">
        <v>101</v>
      </c>
      <c r="BH70" s="9" t="s">
        <v>82</v>
      </c>
      <c r="BI70" s="9" t="s">
        <v>82</v>
      </c>
      <c r="BJ70" s="10" t="str">
        <f t="shared" si="4"/>
        <v>subtropic</v>
      </c>
      <c r="BK70" s="11" t="s">
        <v>127</v>
      </c>
    </row>
    <row r="71" ht="42.75" spans="1:63">
      <c r="A71">
        <v>70</v>
      </c>
      <c r="B71" t="s">
        <v>383</v>
      </c>
      <c r="C71" t="s">
        <v>384</v>
      </c>
      <c r="D71" t="s">
        <v>385</v>
      </c>
      <c r="E71" t="s">
        <v>386</v>
      </c>
      <c r="F71">
        <v>2022</v>
      </c>
      <c r="G71" s="12" t="s">
        <v>387</v>
      </c>
      <c r="H71" t="s">
        <v>145</v>
      </c>
      <c r="I71">
        <v>-20.4703</v>
      </c>
      <c r="J71">
        <v>-54.6236</v>
      </c>
      <c r="K71">
        <v>3</v>
      </c>
      <c r="L71" t="s">
        <v>388</v>
      </c>
      <c r="M71" t="str">
        <f t="shared" si="5"/>
        <v>Group A</v>
      </c>
      <c r="N71" t="s">
        <v>70</v>
      </c>
      <c r="O71" t="s">
        <v>146</v>
      </c>
      <c r="P71" t="s">
        <v>277</v>
      </c>
      <c r="Q71" t="s">
        <v>278</v>
      </c>
      <c r="R71" t="s">
        <v>277</v>
      </c>
      <c r="S71" t="s">
        <v>279</v>
      </c>
      <c r="T71" t="s">
        <v>280</v>
      </c>
      <c r="U71" t="s">
        <v>75</v>
      </c>
      <c r="V71" s="1" t="s">
        <v>389</v>
      </c>
      <c r="W71" s="1" t="s">
        <v>239</v>
      </c>
      <c r="X71" s="1" t="s">
        <v>284</v>
      </c>
      <c r="Y71" s="1" t="s">
        <v>281</v>
      </c>
      <c r="Z71" s="1" t="s">
        <v>390</v>
      </c>
      <c r="AA71" s="13">
        <v>27</v>
      </c>
      <c r="AB71" s="13" t="s">
        <v>79</v>
      </c>
      <c r="AC71" s="13" t="s">
        <v>80</v>
      </c>
      <c r="AD71" s="3">
        <v>7.657</v>
      </c>
      <c r="AE71" s="3">
        <v>6</v>
      </c>
      <c r="AF71" s="3">
        <v>2.5</v>
      </c>
      <c r="AG71" s="4">
        <v>3.405</v>
      </c>
      <c r="AH71" s="3">
        <v>5</v>
      </c>
      <c r="AI71" s="3">
        <v>1.518</v>
      </c>
      <c r="BH71" s="9" t="s">
        <v>391</v>
      </c>
      <c r="BI71" s="9" t="s">
        <v>126</v>
      </c>
      <c r="BJ71" s="10" t="str">
        <f t="shared" si="4"/>
        <v>tropic</v>
      </c>
      <c r="BK71" s="11" t="s">
        <v>127</v>
      </c>
    </row>
    <row r="72" ht="28.5" spans="1:63">
      <c r="A72">
        <v>71</v>
      </c>
      <c r="B72" t="s">
        <v>392</v>
      </c>
      <c r="C72" t="s">
        <v>393</v>
      </c>
      <c r="D72" t="s">
        <v>394</v>
      </c>
      <c r="E72" t="s">
        <v>395</v>
      </c>
      <c r="F72">
        <v>2022</v>
      </c>
      <c r="G72" s="12" t="s">
        <v>396</v>
      </c>
      <c r="H72" t="s">
        <v>68</v>
      </c>
      <c r="I72">
        <v>29.83</v>
      </c>
      <c r="J72">
        <v>118.5</v>
      </c>
      <c r="K72">
        <v>14</v>
      </c>
      <c r="L72" t="s">
        <v>89</v>
      </c>
      <c r="M72" t="str">
        <f t="shared" si="5"/>
        <v>Group C</v>
      </c>
      <c r="N72" t="s">
        <v>70</v>
      </c>
      <c r="O72" t="s">
        <v>71</v>
      </c>
      <c r="P72" t="s">
        <v>72</v>
      </c>
      <c r="Q72" t="s">
        <v>72</v>
      </c>
      <c r="R72" t="s">
        <v>72</v>
      </c>
      <c r="S72" t="s">
        <v>73</v>
      </c>
      <c r="T72" t="s">
        <v>74</v>
      </c>
      <c r="U72" t="s">
        <v>75</v>
      </c>
      <c r="V72" s="1" t="s">
        <v>117</v>
      </c>
      <c r="W72" s="1" t="s">
        <v>77</v>
      </c>
      <c r="X72" s="1" t="s">
        <v>117</v>
      </c>
      <c r="Y72" s="1" t="s">
        <v>117</v>
      </c>
      <c r="Z72" s="1" t="s">
        <v>118</v>
      </c>
      <c r="AA72" s="13">
        <v>112</v>
      </c>
      <c r="AB72" s="13" t="s">
        <v>174</v>
      </c>
      <c r="AC72" s="13" t="s">
        <v>94</v>
      </c>
      <c r="AD72" s="3">
        <v>8.483</v>
      </c>
      <c r="AE72" s="3">
        <v>13</v>
      </c>
      <c r="AF72" s="3">
        <v>0.288</v>
      </c>
      <c r="AG72" s="3">
        <v>6.211</v>
      </c>
      <c r="AH72" s="3">
        <v>13</v>
      </c>
      <c r="AI72" s="3">
        <v>0.396</v>
      </c>
      <c r="BH72" s="9" t="s">
        <v>82</v>
      </c>
      <c r="BI72" s="9" t="s">
        <v>82</v>
      </c>
      <c r="BJ72" s="10" t="str">
        <f t="shared" si="4"/>
        <v>subtropic</v>
      </c>
      <c r="BK72" s="11" t="s">
        <v>164</v>
      </c>
    </row>
    <row r="73" ht="57" spans="1:63">
      <c r="A73">
        <v>72</v>
      </c>
      <c r="B73" t="s">
        <v>397</v>
      </c>
      <c r="C73" t="s">
        <v>398</v>
      </c>
      <c r="D73" t="s">
        <v>399</v>
      </c>
      <c r="E73" t="s">
        <v>400</v>
      </c>
      <c r="F73">
        <v>2022</v>
      </c>
      <c r="G73" s="12" t="s">
        <v>401</v>
      </c>
      <c r="H73" t="s">
        <v>68</v>
      </c>
      <c r="I73">
        <v>24.4795</v>
      </c>
      <c r="J73">
        <v>118.0895</v>
      </c>
      <c r="K73">
        <v>14</v>
      </c>
      <c r="L73" t="s">
        <v>89</v>
      </c>
      <c r="M73" t="str">
        <f t="shared" si="5"/>
        <v>Group C</v>
      </c>
      <c r="N73" t="s">
        <v>70</v>
      </c>
      <c r="O73" t="s">
        <v>71</v>
      </c>
      <c r="P73" t="s">
        <v>72</v>
      </c>
      <c r="Q73" t="s">
        <v>72</v>
      </c>
      <c r="R73" t="s">
        <v>72</v>
      </c>
      <c r="S73" t="s">
        <v>73</v>
      </c>
      <c r="T73" t="s">
        <v>74</v>
      </c>
      <c r="U73" t="s">
        <v>90</v>
      </c>
      <c r="V73" s="1" t="s">
        <v>342</v>
      </c>
      <c r="X73" s="1" t="s">
        <v>240</v>
      </c>
      <c r="Y73" s="1" t="s">
        <v>241</v>
      </c>
      <c r="Z73" s="1" t="s">
        <v>241</v>
      </c>
      <c r="AA73" s="13">
        <v>25</v>
      </c>
      <c r="AB73" s="13" t="s">
        <v>79</v>
      </c>
      <c r="AC73" s="13" t="s">
        <v>80</v>
      </c>
      <c r="AD73" s="3">
        <v>46.804</v>
      </c>
      <c r="AE73" s="3">
        <v>48</v>
      </c>
      <c r="AF73" s="3">
        <v>11.6115</v>
      </c>
      <c r="AG73" s="4">
        <v>27.713</v>
      </c>
      <c r="AH73" s="3">
        <v>24</v>
      </c>
      <c r="AI73" s="3">
        <v>12.31587</v>
      </c>
      <c r="AJ73" s="5" t="s">
        <v>81</v>
      </c>
      <c r="AK73" s="14">
        <v>2.437</v>
      </c>
      <c r="AL73" s="14">
        <v>48</v>
      </c>
      <c r="AM73" s="14">
        <v>0.85083</v>
      </c>
      <c r="AN73" s="14">
        <v>1.86</v>
      </c>
      <c r="AO73" s="14">
        <v>24</v>
      </c>
      <c r="AP73" s="14">
        <v>0.515682</v>
      </c>
      <c r="AQ73" s="7">
        <v>11</v>
      </c>
      <c r="AR73" s="15" t="s">
        <v>402</v>
      </c>
      <c r="AS73" s="15" t="s">
        <v>403</v>
      </c>
      <c r="AT73" s="7" t="s">
        <v>122</v>
      </c>
      <c r="AU73" s="7">
        <v>0.802259</v>
      </c>
      <c r="AV73" s="7">
        <v>276</v>
      </c>
      <c r="AW73" s="7">
        <v>0.41838</v>
      </c>
      <c r="AX73" s="7">
        <v>0.454322</v>
      </c>
      <c r="AY73" s="7">
        <v>1128</v>
      </c>
      <c r="AZ73" s="7">
        <v>0.252698</v>
      </c>
      <c r="BA73" s="7">
        <v>1.487548</v>
      </c>
      <c r="BB73" s="7">
        <v>1152</v>
      </c>
      <c r="BC73" s="7">
        <v>0.412603</v>
      </c>
      <c r="BD73" s="29" t="s">
        <v>98</v>
      </c>
      <c r="BG73" s="7" t="s">
        <v>101</v>
      </c>
      <c r="BH73" s="9" t="s">
        <v>82</v>
      </c>
      <c r="BI73" s="9" t="s">
        <v>82</v>
      </c>
      <c r="BJ73" s="10" t="str">
        <f t="shared" si="4"/>
        <v>subtropic</v>
      </c>
      <c r="BK73" s="11" t="s">
        <v>164</v>
      </c>
    </row>
    <row r="74" ht="42.75" spans="1:63">
      <c r="A74">
        <v>73</v>
      </c>
      <c r="B74" t="s">
        <v>404</v>
      </c>
      <c r="C74" t="s">
        <v>405</v>
      </c>
      <c r="D74" t="s">
        <v>406</v>
      </c>
      <c r="E74" t="s">
        <v>407</v>
      </c>
      <c r="F74">
        <v>2022</v>
      </c>
      <c r="G74" s="12" t="s">
        <v>408</v>
      </c>
      <c r="H74" t="s">
        <v>237</v>
      </c>
      <c r="I74">
        <v>53.43</v>
      </c>
      <c r="J74">
        <v>15.25</v>
      </c>
      <c r="K74">
        <v>26</v>
      </c>
      <c r="L74" t="s">
        <v>181</v>
      </c>
      <c r="M74" t="str">
        <f t="shared" si="5"/>
        <v>Group D</v>
      </c>
      <c r="N74" t="s">
        <v>182</v>
      </c>
      <c r="O74" t="s">
        <v>183</v>
      </c>
      <c r="P74" t="s">
        <v>72</v>
      </c>
      <c r="Q74" t="s">
        <v>72</v>
      </c>
      <c r="R74" t="s">
        <v>72</v>
      </c>
      <c r="S74" t="s">
        <v>73</v>
      </c>
      <c r="T74" t="s">
        <v>74</v>
      </c>
      <c r="U74" t="s">
        <v>75</v>
      </c>
      <c r="V74" s="1" t="s">
        <v>172</v>
      </c>
      <c r="X74" s="1" t="s">
        <v>172</v>
      </c>
      <c r="Y74" s="1" t="s">
        <v>172</v>
      </c>
      <c r="Z74" s="1" t="s">
        <v>173</v>
      </c>
      <c r="AA74" s="13">
        <v>30</v>
      </c>
      <c r="AB74" s="13" t="s">
        <v>79</v>
      </c>
      <c r="AC74" s="13" t="s">
        <v>80</v>
      </c>
      <c r="AD74" s="3">
        <v>2.9103</v>
      </c>
      <c r="AE74" s="3">
        <v>216</v>
      </c>
      <c r="AF74" s="3">
        <v>2.396</v>
      </c>
      <c r="AG74" s="4">
        <v>6.116</v>
      </c>
      <c r="AH74" s="3">
        <v>32</v>
      </c>
      <c r="AI74" s="3">
        <v>5.916</v>
      </c>
      <c r="AJ74" s="5" t="s">
        <v>81</v>
      </c>
      <c r="AK74" s="14">
        <v>1.849</v>
      </c>
      <c r="AL74" s="14">
        <v>216</v>
      </c>
      <c r="AM74" s="22">
        <v>1.65925925925926</v>
      </c>
      <c r="AN74" s="14">
        <v>2.809</v>
      </c>
      <c r="AO74" s="14">
        <v>32</v>
      </c>
      <c r="AP74" s="14">
        <v>1.86840740740741</v>
      </c>
      <c r="BE74" s="8" t="s">
        <v>409</v>
      </c>
      <c r="BH74" s="9" t="s">
        <v>82</v>
      </c>
      <c r="BI74" s="9" t="s">
        <v>82</v>
      </c>
      <c r="BJ74" s="10" t="str">
        <f t="shared" si="4"/>
        <v>temperate</v>
      </c>
      <c r="BK74" s="11" t="s">
        <v>137</v>
      </c>
    </row>
    <row r="75" ht="42.75" spans="1:63">
      <c r="A75">
        <v>74</v>
      </c>
      <c r="B75" t="s">
        <v>404</v>
      </c>
      <c r="C75" t="s">
        <v>405</v>
      </c>
      <c r="D75" t="s">
        <v>410</v>
      </c>
      <c r="E75" t="s">
        <v>407</v>
      </c>
      <c r="F75">
        <v>2022</v>
      </c>
      <c r="G75" s="12" t="s">
        <v>408</v>
      </c>
      <c r="H75" t="s">
        <v>237</v>
      </c>
      <c r="I75">
        <v>53.43</v>
      </c>
      <c r="J75">
        <v>15.25</v>
      </c>
      <c r="K75">
        <v>26</v>
      </c>
      <c r="L75" t="s">
        <v>181</v>
      </c>
      <c r="M75" t="str">
        <f t="shared" si="5"/>
        <v>Group D</v>
      </c>
      <c r="N75" t="s">
        <v>182</v>
      </c>
      <c r="O75" t="s">
        <v>183</v>
      </c>
      <c r="P75" t="s">
        <v>72</v>
      </c>
      <c r="Q75" t="s">
        <v>72</v>
      </c>
      <c r="R75" t="s">
        <v>72</v>
      </c>
      <c r="S75" t="s">
        <v>73</v>
      </c>
      <c r="T75" t="s">
        <v>74</v>
      </c>
      <c r="U75" t="s">
        <v>75</v>
      </c>
      <c r="V75" s="1" t="s">
        <v>172</v>
      </c>
      <c r="X75" s="1" t="s">
        <v>172</v>
      </c>
      <c r="Y75" s="1" t="s">
        <v>172</v>
      </c>
      <c r="Z75" s="1" t="s">
        <v>173</v>
      </c>
      <c r="AA75" s="13">
        <v>30</v>
      </c>
      <c r="AB75" s="13" t="s">
        <v>79</v>
      </c>
      <c r="AC75" s="13" t="s">
        <v>80</v>
      </c>
      <c r="AD75" s="3">
        <v>2.853</v>
      </c>
      <c r="AE75" s="3">
        <v>135</v>
      </c>
      <c r="AF75" s="3">
        <v>3.181</v>
      </c>
      <c r="AG75" s="4">
        <v>1.25</v>
      </c>
      <c r="AH75" s="3">
        <v>28</v>
      </c>
      <c r="AI75" s="3">
        <v>1.6115</v>
      </c>
      <c r="AJ75" s="5" t="s">
        <v>81</v>
      </c>
      <c r="AK75" s="14">
        <v>2.075</v>
      </c>
      <c r="AL75" s="14">
        <v>135</v>
      </c>
      <c r="AM75" s="23">
        <v>1.18866666666667</v>
      </c>
      <c r="AN75" s="14">
        <v>0.682</v>
      </c>
      <c r="AO75" s="14">
        <v>28</v>
      </c>
      <c r="AP75" s="6">
        <v>1.53376906318083</v>
      </c>
      <c r="BE75" s="8" t="s">
        <v>411</v>
      </c>
      <c r="BH75" s="9" t="s">
        <v>82</v>
      </c>
      <c r="BI75" s="9" t="s">
        <v>82</v>
      </c>
      <c r="BJ75" s="10" t="str">
        <f t="shared" si="4"/>
        <v>temperate</v>
      </c>
      <c r="BK75" s="11" t="s">
        <v>137</v>
      </c>
    </row>
    <row r="76" ht="42.75" spans="1:63">
      <c r="A76">
        <v>75</v>
      </c>
      <c r="B76" t="s">
        <v>412</v>
      </c>
      <c r="C76" t="s">
        <v>413</v>
      </c>
      <c r="D76" t="s">
        <v>414</v>
      </c>
      <c r="E76" t="s">
        <v>415</v>
      </c>
      <c r="F76">
        <v>2022</v>
      </c>
      <c r="G76" s="12" t="s">
        <v>416</v>
      </c>
      <c r="H76" t="s">
        <v>68</v>
      </c>
      <c r="I76">
        <v>22.5429</v>
      </c>
      <c r="J76">
        <v>114.0596</v>
      </c>
      <c r="K76">
        <v>11</v>
      </c>
      <c r="L76" t="s">
        <v>111</v>
      </c>
      <c r="M76" t="str">
        <f t="shared" si="5"/>
        <v>Group C</v>
      </c>
      <c r="N76" t="s">
        <v>70</v>
      </c>
      <c r="O76" t="s">
        <v>71</v>
      </c>
      <c r="P76" t="s">
        <v>72</v>
      </c>
      <c r="Q76" t="s">
        <v>72</v>
      </c>
      <c r="R76" t="s">
        <v>72</v>
      </c>
      <c r="S76" t="s">
        <v>73</v>
      </c>
      <c r="T76" t="s">
        <v>74</v>
      </c>
      <c r="U76" t="s">
        <v>75</v>
      </c>
      <c r="V76" s="1" t="s">
        <v>172</v>
      </c>
      <c r="X76" s="1" t="s">
        <v>172</v>
      </c>
      <c r="Y76" s="1" t="s">
        <v>172</v>
      </c>
      <c r="Z76" s="1" t="s">
        <v>173</v>
      </c>
      <c r="AA76" s="13">
        <v>77</v>
      </c>
      <c r="AB76" s="13" t="s">
        <v>119</v>
      </c>
      <c r="AC76" s="13" t="s">
        <v>80</v>
      </c>
      <c r="AD76" s="3">
        <v>11.79</v>
      </c>
      <c r="AE76" s="3">
        <v>19</v>
      </c>
      <c r="AF76" s="4">
        <v>5.77</v>
      </c>
      <c r="AG76" s="4">
        <v>5.83</v>
      </c>
      <c r="AH76" s="3">
        <v>24</v>
      </c>
      <c r="AI76" s="3">
        <v>2.3</v>
      </c>
      <c r="BE76" s="8" t="s">
        <v>123</v>
      </c>
      <c r="BH76" s="9" t="s">
        <v>125</v>
      </c>
      <c r="BI76" s="9" t="s">
        <v>126</v>
      </c>
      <c r="BJ76" s="10" t="str">
        <f t="shared" si="4"/>
        <v>tropic</v>
      </c>
      <c r="BK76" s="11" t="s">
        <v>164</v>
      </c>
    </row>
    <row r="77" ht="42.75" spans="1:63">
      <c r="A77">
        <v>76</v>
      </c>
      <c r="B77" t="s">
        <v>412</v>
      </c>
      <c r="C77" t="s">
        <v>413</v>
      </c>
      <c r="D77" t="s">
        <v>414</v>
      </c>
      <c r="E77" t="s">
        <v>415</v>
      </c>
      <c r="F77">
        <v>2022</v>
      </c>
      <c r="G77" s="12" t="s">
        <v>416</v>
      </c>
      <c r="H77" t="s">
        <v>68</v>
      </c>
      <c r="I77">
        <v>22.5429</v>
      </c>
      <c r="J77">
        <v>114.0596</v>
      </c>
      <c r="K77">
        <v>11</v>
      </c>
      <c r="L77" t="s">
        <v>111</v>
      </c>
      <c r="M77" t="str">
        <f t="shared" si="5"/>
        <v>Group C</v>
      </c>
      <c r="N77" t="s">
        <v>70</v>
      </c>
      <c r="O77" t="s">
        <v>71</v>
      </c>
      <c r="P77" t="s">
        <v>72</v>
      </c>
      <c r="Q77" t="s">
        <v>72</v>
      </c>
      <c r="R77" t="s">
        <v>72</v>
      </c>
      <c r="S77" t="s">
        <v>73</v>
      </c>
      <c r="T77" t="s">
        <v>74</v>
      </c>
      <c r="U77" t="s">
        <v>75</v>
      </c>
      <c r="V77" s="1" t="s">
        <v>172</v>
      </c>
      <c r="X77" s="1" t="s">
        <v>172</v>
      </c>
      <c r="Y77" s="1" t="s">
        <v>172</v>
      </c>
      <c r="Z77" s="1" t="s">
        <v>173</v>
      </c>
      <c r="AA77" s="13">
        <v>77</v>
      </c>
      <c r="AB77" s="13" t="s">
        <v>119</v>
      </c>
      <c r="AC77" s="13" t="s">
        <v>80</v>
      </c>
      <c r="AD77" s="3">
        <v>14.84</v>
      </c>
      <c r="AE77" s="3">
        <v>19</v>
      </c>
      <c r="AF77" s="3">
        <v>6.56</v>
      </c>
      <c r="AG77" s="4">
        <v>9.17</v>
      </c>
      <c r="AH77" s="3">
        <v>24</v>
      </c>
      <c r="AI77" s="3">
        <v>3.77</v>
      </c>
      <c r="BE77" s="8" t="s">
        <v>129</v>
      </c>
      <c r="BH77" s="9" t="s">
        <v>125</v>
      </c>
      <c r="BI77" s="9" t="s">
        <v>126</v>
      </c>
      <c r="BJ77" s="10" t="str">
        <f t="shared" si="4"/>
        <v>tropic</v>
      </c>
      <c r="BK77" s="11" t="s">
        <v>164</v>
      </c>
    </row>
    <row r="78" ht="28.5" spans="1:63">
      <c r="A78">
        <v>77</v>
      </c>
      <c r="B78" t="s">
        <v>417</v>
      </c>
      <c r="C78" t="s">
        <v>418</v>
      </c>
      <c r="D78" t="s">
        <v>419</v>
      </c>
      <c r="E78" t="s">
        <v>420</v>
      </c>
      <c r="F78">
        <v>2022</v>
      </c>
      <c r="G78" s="17" t="s">
        <v>421</v>
      </c>
      <c r="H78" t="s">
        <v>422</v>
      </c>
      <c r="I78">
        <v>-0.1839</v>
      </c>
      <c r="J78">
        <v>-78.4802</v>
      </c>
      <c r="K78">
        <v>15</v>
      </c>
      <c r="L78" t="s">
        <v>357</v>
      </c>
      <c r="M78" t="str">
        <f t="shared" si="5"/>
        <v>Group C</v>
      </c>
      <c r="N78" t="s">
        <v>70</v>
      </c>
      <c r="O78" t="s">
        <v>146</v>
      </c>
      <c r="P78" t="s">
        <v>72</v>
      </c>
      <c r="Q78" t="s">
        <v>72</v>
      </c>
      <c r="R78" t="s">
        <v>72</v>
      </c>
      <c r="S78" t="s">
        <v>73</v>
      </c>
      <c r="T78" t="s">
        <v>74</v>
      </c>
      <c r="U78" t="s">
        <v>75</v>
      </c>
      <c r="V78" s="1" t="s">
        <v>423</v>
      </c>
      <c r="X78" s="1" t="s">
        <v>172</v>
      </c>
      <c r="Y78" s="1" t="s">
        <v>324</v>
      </c>
      <c r="Z78" s="1" t="s">
        <v>325</v>
      </c>
      <c r="AA78" s="13">
        <v>47</v>
      </c>
      <c r="AB78" s="13" t="s">
        <v>79</v>
      </c>
      <c r="AC78" s="13" t="s">
        <v>80</v>
      </c>
      <c r="AD78" s="3">
        <v>22.054</v>
      </c>
      <c r="AE78" s="3">
        <v>4</v>
      </c>
      <c r="AF78" s="3">
        <v>7.25</v>
      </c>
      <c r="AG78" s="4">
        <v>5.256</v>
      </c>
      <c r="AH78" s="3">
        <v>5</v>
      </c>
      <c r="AI78" s="3">
        <v>0.337</v>
      </c>
      <c r="AJ78" s="5" t="s">
        <v>81</v>
      </c>
      <c r="AK78" s="14">
        <v>18.491</v>
      </c>
      <c r="AL78" s="14">
        <v>4</v>
      </c>
      <c r="AM78" s="14">
        <v>6.096</v>
      </c>
      <c r="AN78" s="14">
        <v>4.485</v>
      </c>
      <c r="AO78" s="14">
        <v>5</v>
      </c>
      <c r="AP78" s="14">
        <v>0.297</v>
      </c>
      <c r="BH78" s="9" t="s">
        <v>424</v>
      </c>
      <c r="BI78" s="9" t="s">
        <v>126</v>
      </c>
      <c r="BJ78" s="10" t="str">
        <f t="shared" si="4"/>
        <v>tropic</v>
      </c>
      <c r="BK78" s="11" t="s">
        <v>164</v>
      </c>
    </row>
    <row r="79" ht="42.75" spans="1:63">
      <c r="A79">
        <v>78</v>
      </c>
      <c r="B79" t="s">
        <v>425</v>
      </c>
      <c r="C79" t="s">
        <v>426</v>
      </c>
      <c r="D79" t="s">
        <v>427</v>
      </c>
      <c r="E79" t="s">
        <v>428</v>
      </c>
      <c r="F79">
        <v>2022</v>
      </c>
      <c r="G79" s="12" t="s">
        <v>429</v>
      </c>
      <c r="H79" t="s">
        <v>68</v>
      </c>
      <c r="I79">
        <v>36.6518</v>
      </c>
      <c r="J79">
        <v>117.1201</v>
      </c>
      <c r="K79">
        <v>21</v>
      </c>
      <c r="L79" t="s">
        <v>69</v>
      </c>
      <c r="M79" t="str">
        <f t="shared" si="5"/>
        <v>Group D</v>
      </c>
      <c r="N79" t="s">
        <v>70</v>
      </c>
      <c r="O79" t="s">
        <v>71</v>
      </c>
      <c r="P79" t="s">
        <v>72</v>
      </c>
      <c r="Q79" t="s">
        <v>72</v>
      </c>
      <c r="R79" t="s">
        <v>72</v>
      </c>
      <c r="S79" t="s">
        <v>73</v>
      </c>
      <c r="T79" t="s">
        <v>74</v>
      </c>
      <c r="U79" t="s">
        <v>75</v>
      </c>
      <c r="V79" s="1" t="s">
        <v>172</v>
      </c>
      <c r="X79" s="1" t="s">
        <v>172</v>
      </c>
      <c r="Y79" s="1" t="s">
        <v>172</v>
      </c>
      <c r="Z79" s="1" t="s">
        <v>173</v>
      </c>
      <c r="AA79" s="13">
        <v>136</v>
      </c>
      <c r="AB79" s="13" t="s">
        <v>174</v>
      </c>
      <c r="AC79" s="13" t="s">
        <v>94</v>
      </c>
      <c r="AD79" s="3">
        <v>9.798</v>
      </c>
      <c r="AE79" s="3">
        <v>15</v>
      </c>
      <c r="AF79" s="3">
        <v>5.738</v>
      </c>
      <c r="AG79" s="4">
        <v>11.161</v>
      </c>
      <c r="AH79" s="3">
        <v>15</v>
      </c>
      <c r="AI79" s="3">
        <v>7.982</v>
      </c>
      <c r="AJ79" s="5" t="s">
        <v>81</v>
      </c>
      <c r="AK79" s="14">
        <v>1.676</v>
      </c>
      <c r="AL79" s="14">
        <v>15</v>
      </c>
      <c r="AM79" s="14">
        <v>0.541</v>
      </c>
      <c r="AN79" s="14">
        <v>1.722</v>
      </c>
      <c r="AO79" s="14">
        <v>15</v>
      </c>
      <c r="AP79" s="14">
        <v>0.657</v>
      </c>
      <c r="BH79" s="9" t="s">
        <v>82</v>
      </c>
      <c r="BI79" s="9" t="s">
        <v>82</v>
      </c>
      <c r="BJ79" s="10" t="str">
        <f t="shared" si="4"/>
        <v>subtropic</v>
      </c>
      <c r="BK79" s="11" t="s">
        <v>164</v>
      </c>
    </row>
    <row r="80" ht="28.5" spans="1:63">
      <c r="A80">
        <v>79</v>
      </c>
      <c r="B80" t="s">
        <v>430</v>
      </c>
      <c r="C80" t="s">
        <v>431</v>
      </c>
      <c r="D80" t="s">
        <v>432</v>
      </c>
      <c r="E80" t="s">
        <v>433</v>
      </c>
      <c r="F80">
        <v>2022</v>
      </c>
      <c r="G80" s="17" t="s">
        <v>434</v>
      </c>
      <c r="H80" t="s">
        <v>68</v>
      </c>
      <c r="I80">
        <v>24.4795</v>
      </c>
      <c r="J80">
        <v>118.0895</v>
      </c>
      <c r="K80">
        <v>14</v>
      </c>
      <c r="L80" t="s">
        <v>89</v>
      </c>
      <c r="M80" t="str">
        <f t="shared" si="5"/>
        <v>Group C</v>
      </c>
      <c r="N80" t="s">
        <v>70</v>
      </c>
      <c r="O80" t="s">
        <v>71</v>
      </c>
      <c r="P80" t="s">
        <v>72</v>
      </c>
      <c r="Q80" t="s">
        <v>72</v>
      </c>
      <c r="R80" t="s">
        <v>72</v>
      </c>
      <c r="S80" t="s">
        <v>73</v>
      </c>
      <c r="T80" t="s">
        <v>74</v>
      </c>
      <c r="U80" t="s">
        <v>90</v>
      </c>
      <c r="V80" s="1" t="s">
        <v>435</v>
      </c>
      <c r="X80" s="1" t="s">
        <v>92</v>
      </c>
      <c r="Y80" s="1" t="s">
        <v>92</v>
      </c>
      <c r="Z80" s="1" t="s">
        <v>92</v>
      </c>
      <c r="AA80" s="13">
        <v>10</v>
      </c>
      <c r="AB80" s="13" t="s">
        <v>192</v>
      </c>
      <c r="AC80" s="13" t="s">
        <v>80</v>
      </c>
      <c r="AD80" s="3">
        <v>33.627</v>
      </c>
      <c r="AE80" s="3">
        <v>5</v>
      </c>
      <c r="AF80" s="3">
        <v>5.397</v>
      </c>
      <c r="AG80" s="24">
        <v>24.56</v>
      </c>
      <c r="AH80" s="3">
        <v>15</v>
      </c>
      <c r="AI80" s="3">
        <v>4.7697</v>
      </c>
      <c r="AQ80" s="7">
        <v>12</v>
      </c>
      <c r="AR80" s="15" t="s">
        <v>436</v>
      </c>
      <c r="AS80" s="15" t="s">
        <v>437</v>
      </c>
      <c r="AT80" s="7" t="s">
        <v>122</v>
      </c>
      <c r="AU80" s="7">
        <v>0.575624</v>
      </c>
      <c r="AV80" s="7">
        <v>378</v>
      </c>
      <c r="AW80" s="7">
        <v>0.384663</v>
      </c>
      <c r="AX80" s="7">
        <v>0.825333</v>
      </c>
      <c r="AY80" s="7">
        <v>45</v>
      </c>
      <c r="AZ80" s="7">
        <v>0.700101</v>
      </c>
      <c r="BA80" s="7">
        <v>0.739898</v>
      </c>
      <c r="BB80" s="7">
        <v>280</v>
      </c>
      <c r="BC80" s="7">
        <v>0.475283</v>
      </c>
      <c r="BD80" s="29" t="s">
        <v>98</v>
      </c>
      <c r="BG80" s="7" t="s">
        <v>101</v>
      </c>
      <c r="BH80" s="9" t="s">
        <v>82</v>
      </c>
      <c r="BI80" s="9" t="s">
        <v>82</v>
      </c>
      <c r="BJ80" s="10" t="str">
        <f t="shared" si="4"/>
        <v>subtropic</v>
      </c>
      <c r="BK80" s="11" t="s">
        <v>164</v>
      </c>
    </row>
    <row r="81" ht="57" spans="1:63">
      <c r="A81">
        <v>80</v>
      </c>
      <c r="B81" t="s">
        <v>430</v>
      </c>
      <c r="C81" t="s">
        <v>431</v>
      </c>
      <c r="D81" t="s">
        <v>432</v>
      </c>
      <c r="E81" t="s">
        <v>433</v>
      </c>
      <c r="F81">
        <v>2022</v>
      </c>
      <c r="G81" s="17" t="s">
        <v>434</v>
      </c>
      <c r="H81" t="s">
        <v>68</v>
      </c>
      <c r="I81">
        <v>24.4795</v>
      </c>
      <c r="J81">
        <v>118.0895</v>
      </c>
      <c r="K81">
        <v>14</v>
      </c>
      <c r="L81" t="s">
        <v>89</v>
      </c>
      <c r="M81" t="str">
        <f t="shared" si="5"/>
        <v>Group C</v>
      </c>
      <c r="N81" t="s">
        <v>70</v>
      </c>
      <c r="O81" t="s">
        <v>71</v>
      </c>
      <c r="P81" t="s">
        <v>72</v>
      </c>
      <c r="Q81" t="s">
        <v>72</v>
      </c>
      <c r="R81" t="s">
        <v>72</v>
      </c>
      <c r="S81" t="s">
        <v>73</v>
      </c>
      <c r="T81" t="s">
        <v>74</v>
      </c>
      <c r="U81" t="s">
        <v>90</v>
      </c>
      <c r="V81" s="1" t="s">
        <v>342</v>
      </c>
      <c r="X81" s="1" t="s">
        <v>240</v>
      </c>
      <c r="Y81" s="1" t="s">
        <v>241</v>
      </c>
      <c r="Z81" s="1" t="s">
        <v>241</v>
      </c>
      <c r="AA81" s="13">
        <v>10</v>
      </c>
      <c r="AB81" s="13" t="s">
        <v>192</v>
      </c>
      <c r="AC81" s="13" t="s">
        <v>80</v>
      </c>
      <c r="AD81" s="3">
        <v>24.076</v>
      </c>
      <c r="AE81" s="3">
        <v>5</v>
      </c>
      <c r="AF81" s="3">
        <v>4.463</v>
      </c>
      <c r="AG81" s="4">
        <v>27.071</v>
      </c>
      <c r="AH81" s="3">
        <v>15</v>
      </c>
      <c r="AI81" s="3">
        <v>8.199</v>
      </c>
      <c r="AQ81" s="7">
        <v>13</v>
      </c>
      <c r="AR81" s="15" t="s">
        <v>436</v>
      </c>
      <c r="AS81" s="15" t="s">
        <v>437</v>
      </c>
      <c r="AT81" s="7" t="s">
        <v>122</v>
      </c>
      <c r="AU81" s="7">
        <v>0.721533</v>
      </c>
      <c r="AV81" s="7">
        <v>406</v>
      </c>
      <c r="AW81" s="7">
        <v>0.373134</v>
      </c>
      <c r="AX81" s="7">
        <v>0.70604</v>
      </c>
      <c r="AY81" s="7">
        <v>45</v>
      </c>
      <c r="AZ81" s="7">
        <v>0.47382</v>
      </c>
      <c r="BA81" s="7">
        <v>0.736105</v>
      </c>
      <c r="BB81" s="7">
        <v>290</v>
      </c>
      <c r="BC81" s="7">
        <v>0.368727</v>
      </c>
      <c r="BD81" s="29" t="s">
        <v>98</v>
      </c>
      <c r="BG81" s="7" t="s">
        <v>101</v>
      </c>
      <c r="BH81" s="9" t="s">
        <v>82</v>
      </c>
      <c r="BI81" s="9" t="s">
        <v>82</v>
      </c>
      <c r="BJ81" s="10" t="str">
        <f t="shared" si="4"/>
        <v>subtropic</v>
      </c>
      <c r="BK81" s="11" t="s">
        <v>164</v>
      </c>
    </row>
    <row r="82" ht="42.75" spans="1:63">
      <c r="A82">
        <v>81</v>
      </c>
      <c r="B82" t="s">
        <v>438</v>
      </c>
      <c r="C82" t="s">
        <v>439</v>
      </c>
      <c r="D82" t="s">
        <v>440</v>
      </c>
      <c r="E82" t="s">
        <v>441</v>
      </c>
      <c r="F82">
        <v>2022</v>
      </c>
      <c r="G82" s="12" t="s">
        <v>442</v>
      </c>
      <c r="H82" t="s">
        <v>443</v>
      </c>
      <c r="I82">
        <v>4.9582</v>
      </c>
      <c r="J82">
        <v>8.3061</v>
      </c>
      <c r="K82">
        <v>2</v>
      </c>
      <c r="L82" t="s">
        <v>256</v>
      </c>
      <c r="M82" t="str">
        <f t="shared" si="5"/>
        <v>Group A</v>
      </c>
      <c r="N82" t="s">
        <v>444</v>
      </c>
      <c r="O82" t="s">
        <v>445</v>
      </c>
      <c r="P82" t="s">
        <v>72</v>
      </c>
      <c r="Q82" t="s">
        <v>72</v>
      </c>
      <c r="R82" t="s">
        <v>72</v>
      </c>
      <c r="S82" t="s">
        <v>73</v>
      </c>
      <c r="T82" t="s">
        <v>74</v>
      </c>
      <c r="U82" t="s">
        <v>75</v>
      </c>
      <c r="V82" s="1" t="s">
        <v>333</v>
      </c>
      <c r="W82" s="1" t="s">
        <v>77</v>
      </c>
      <c r="X82" s="1" t="s">
        <v>172</v>
      </c>
      <c r="Y82" s="1" t="s">
        <v>172</v>
      </c>
      <c r="Z82" s="1" t="s">
        <v>173</v>
      </c>
      <c r="AA82" s="13">
        <v>8</v>
      </c>
      <c r="AB82" s="13" t="s">
        <v>192</v>
      </c>
      <c r="AC82" s="13" t="s">
        <v>80</v>
      </c>
      <c r="AJ82" s="5" t="s">
        <v>81</v>
      </c>
      <c r="AK82" s="14">
        <v>2.65</v>
      </c>
      <c r="AL82" s="14">
        <v>7</v>
      </c>
      <c r="AM82" s="14">
        <v>0.132</v>
      </c>
      <c r="AN82" s="14">
        <v>1.38</v>
      </c>
      <c r="AO82" s="14">
        <v>7</v>
      </c>
      <c r="AP82" s="14">
        <v>0.847</v>
      </c>
      <c r="BH82" s="9" t="s">
        <v>82</v>
      </c>
      <c r="BI82" s="9" t="s">
        <v>82</v>
      </c>
      <c r="BJ82" s="10" t="str">
        <f t="shared" si="4"/>
        <v>tropic</v>
      </c>
      <c r="BK82" s="11" t="s">
        <v>164</v>
      </c>
    </row>
    <row r="83" ht="28.5" spans="1:63">
      <c r="A83">
        <v>82</v>
      </c>
      <c r="B83" t="s">
        <v>446</v>
      </c>
      <c r="C83" t="s">
        <v>447</v>
      </c>
      <c r="D83" t="s">
        <v>448</v>
      </c>
      <c r="E83" t="s">
        <v>449</v>
      </c>
      <c r="F83">
        <v>2021</v>
      </c>
      <c r="G83" s="12" t="s">
        <v>450</v>
      </c>
      <c r="H83" t="s">
        <v>68</v>
      </c>
      <c r="I83">
        <v>34</v>
      </c>
      <c r="J83">
        <v>117</v>
      </c>
      <c r="K83">
        <v>11</v>
      </c>
      <c r="L83" t="s">
        <v>111</v>
      </c>
      <c r="M83" t="str">
        <f t="shared" si="5"/>
        <v>Group C</v>
      </c>
      <c r="N83" t="s">
        <v>70</v>
      </c>
      <c r="O83" t="s">
        <v>71</v>
      </c>
      <c r="P83" t="s">
        <v>72</v>
      </c>
      <c r="Q83" t="s">
        <v>72</v>
      </c>
      <c r="R83" t="s">
        <v>72</v>
      </c>
      <c r="S83" t="s">
        <v>73</v>
      </c>
      <c r="T83" t="s">
        <v>74</v>
      </c>
      <c r="U83" t="s">
        <v>75</v>
      </c>
      <c r="V83" s="1" t="s">
        <v>344</v>
      </c>
      <c r="X83" s="1" t="s">
        <v>344</v>
      </c>
      <c r="Y83" s="1" t="s">
        <v>344</v>
      </c>
      <c r="Z83" s="1" t="s">
        <v>344</v>
      </c>
      <c r="AA83" s="13">
        <v>938</v>
      </c>
      <c r="AB83" s="13" t="s">
        <v>93</v>
      </c>
      <c r="AC83" s="13" t="s">
        <v>94</v>
      </c>
      <c r="AD83" s="3">
        <v>16.44</v>
      </c>
      <c r="AE83" s="3">
        <v>18</v>
      </c>
      <c r="AF83" s="3">
        <v>6.319</v>
      </c>
      <c r="AG83" s="4">
        <v>6.045</v>
      </c>
      <c r="AH83" s="3">
        <v>74</v>
      </c>
      <c r="AI83" s="3">
        <v>2.491</v>
      </c>
      <c r="AJ83" s="5" t="s">
        <v>81</v>
      </c>
      <c r="AK83" s="14">
        <v>5.12</v>
      </c>
      <c r="AL83" s="14">
        <v>18</v>
      </c>
      <c r="AM83" s="14">
        <v>0.31</v>
      </c>
      <c r="AN83" s="14">
        <v>3.85</v>
      </c>
      <c r="AO83" s="14">
        <v>74</v>
      </c>
      <c r="AP83" s="14">
        <v>1.806</v>
      </c>
      <c r="AQ83" s="7">
        <v>14</v>
      </c>
      <c r="AR83" s="15" t="s">
        <v>451</v>
      </c>
      <c r="AS83" s="15" t="s">
        <v>452</v>
      </c>
      <c r="AT83" s="7" t="s">
        <v>122</v>
      </c>
      <c r="AU83" s="7">
        <v>0.125497</v>
      </c>
      <c r="AV83" s="7">
        <v>45</v>
      </c>
      <c r="AW83" s="7">
        <v>0.098357</v>
      </c>
      <c r="AX83" s="7">
        <v>0.244621</v>
      </c>
      <c r="AY83" s="7">
        <v>45</v>
      </c>
      <c r="AZ83" s="7">
        <v>0.133715</v>
      </c>
      <c r="BA83" s="7">
        <v>0.496974</v>
      </c>
      <c r="BB83" s="7">
        <v>100</v>
      </c>
      <c r="BC83" s="7">
        <v>0.109451</v>
      </c>
      <c r="BD83" s="29" t="s">
        <v>98</v>
      </c>
      <c r="BH83" s="9" t="s">
        <v>82</v>
      </c>
      <c r="BI83" s="9" t="s">
        <v>82</v>
      </c>
      <c r="BJ83" s="10" t="str">
        <f t="shared" si="4"/>
        <v>subtropic</v>
      </c>
      <c r="BK83" s="11" t="s">
        <v>137</v>
      </c>
    </row>
    <row r="84" ht="28.5" spans="1:63">
      <c r="A84">
        <v>83</v>
      </c>
      <c r="B84" t="s">
        <v>453</v>
      </c>
      <c r="C84" t="s">
        <v>454</v>
      </c>
      <c r="D84" t="s">
        <v>455</v>
      </c>
      <c r="E84" t="s">
        <v>456</v>
      </c>
      <c r="F84">
        <v>2021</v>
      </c>
      <c r="G84" s="12" t="s">
        <v>457</v>
      </c>
      <c r="H84" t="s">
        <v>332</v>
      </c>
      <c r="I84">
        <v>46.8144</v>
      </c>
      <c r="J84">
        <v>-71.2078</v>
      </c>
      <c r="K84">
        <v>26</v>
      </c>
      <c r="L84" t="s">
        <v>181</v>
      </c>
      <c r="M84" t="str">
        <f t="shared" si="5"/>
        <v>Group D</v>
      </c>
      <c r="N84" t="s">
        <v>182</v>
      </c>
      <c r="O84" t="s">
        <v>183</v>
      </c>
      <c r="P84" t="s">
        <v>359</v>
      </c>
      <c r="Q84" t="s">
        <v>267</v>
      </c>
      <c r="R84" t="s">
        <v>268</v>
      </c>
      <c r="S84" t="s">
        <v>360</v>
      </c>
      <c r="T84" t="s">
        <v>74</v>
      </c>
      <c r="U84" t="s">
        <v>191</v>
      </c>
      <c r="V84" s="1" t="s">
        <v>458</v>
      </c>
      <c r="X84" s="1" t="s">
        <v>191</v>
      </c>
      <c r="Y84" s="1" t="s">
        <v>191</v>
      </c>
      <c r="Z84" s="1" t="s">
        <v>191</v>
      </c>
      <c r="AA84" s="13">
        <v>26</v>
      </c>
      <c r="AB84" s="13" t="s">
        <v>79</v>
      </c>
      <c r="AC84" s="13" t="s">
        <v>80</v>
      </c>
      <c r="AD84" s="3">
        <v>33.093</v>
      </c>
      <c r="AE84" s="3">
        <v>25</v>
      </c>
      <c r="AF84" s="3">
        <v>4.291</v>
      </c>
      <c r="AG84" s="4">
        <v>29.694</v>
      </c>
      <c r="AH84" s="3">
        <v>29</v>
      </c>
      <c r="AI84" s="3">
        <v>4.163</v>
      </c>
      <c r="AQ84" s="7">
        <v>15</v>
      </c>
      <c r="AR84" s="15" t="s">
        <v>459</v>
      </c>
      <c r="AS84" s="15" t="s">
        <v>460</v>
      </c>
      <c r="AT84" s="7" t="s">
        <v>97</v>
      </c>
      <c r="AU84" s="7">
        <v>0.59636</v>
      </c>
      <c r="AV84" s="7">
        <v>55</v>
      </c>
      <c r="AW84" s="7">
        <v>0.309876</v>
      </c>
      <c r="AX84" s="7">
        <v>0.201016</v>
      </c>
      <c r="AY84" s="7">
        <v>36</v>
      </c>
      <c r="AZ84" s="7">
        <v>0.125771</v>
      </c>
      <c r="BA84" s="7">
        <v>0.676811</v>
      </c>
      <c r="BB84" s="7">
        <v>99</v>
      </c>
      <c r="BC84" s="7">
        <v>0.347382</v>
      </c>
      <c r="BD84" s="29" t="s">
        <v>98</v>
      </c>
      <c r="BH84" s="9" t="s">
        <v>82</v>
      </c>
      <c r="BI84" s="9" t="s">
        <v>82</v>
      </c>
      <c r="BJ84" s="10" t="str">
        <f t="shared" si="4"/>
        <v>temperate</v>
      </c>
      <c r="BK84" s="11" t="s">
        <v>83</v>
      </c>
    </row>
    <row r="85" ht="28.5" spans="1:63">
      <c r="A85">
        <v>84</v>
      </c>
      <c r="B85" t="s">
        <v>461</v>
      </c>
      <c r="C85" t="s">
        <v>462</v>
      </c>
      <c r="D85" t="s">
        <v>463</v>
      </c>
      <c r="E85" t="s">
        <v>464</v>
      </c>
      <c r="F85">
        <v>2021</v>
      </c>
      <c r="G85" s="12" t="s">
        <v>465</v>
      </c>
      <c r="H85" t="s">
        <v>145</v>
      </c>
      <c r="I85">
        <v>-29.3646</v>
      </c>
      <c r="J85">
        <v>-51.6658</v>
      </c>
      <c r="K85">
        <v>14</v>
      </c>
      <c r="L85" t="s">
        <v>89</v>
      </c>
      <c r="M85" t="str">
        <f t="shared" si="5"/>
        <v>Group C</v>
      </c>
      <c r="N85" t="s">
        <v>70</v>
      </c>
      <c r="O85" t="s">
        <v>146</v>
      </c>
      <c r="P85" t="s">
        <v>277</v>
      </c>
      <c r="Q85" t="s">
        <v>217</v>
      </c>
      <c r="R85" t="s">
        <v>277</v>
      </c>
      <c r="S85" t="s">
        <v>279</v>
      </c>
      <c r="T85" t="s">
        <v>74</v>
      </c>
      <c r="U85" t="s">
        <v>75</v>
      </c>
      <c r="V85" s="1" t="s">
        <v>466</v>
      </c>
      <c r="X85" s="1" t="s">
        <v>172</v>
      </c>
      <c r="Y85" s="1" t="s">
        <v>324</v>
      </c>
      <c r="Z85" s="1" t="s">
        <v>325</v>
      </c>
      <c r="AA85" s="13">
        <v>121</v>
      </c>
      <c r="AB85" s="13" t="s">
        <v>174</v>
      </c>
      <c r="AC85" s="13" t="s">
        <v>80</v>
      </c>
      <c r="AD85" s="3">
        <v>8.267</v>
      </c>
      <c r="AE85" s="3">
        <v>15</v>
      </c>
      <c r="AF85" s="3">
        <v>2.125</v>
      </c>
      <c r="AG85" s="4">
        <v>7.308</v>
      </c>
      <c r="AH85" s="3">
        <v>13</v>
      </c>
      <c r="AI85" s="3">
        <v>2.373</v>
      </c>
      <c r="BH85" s="9" t="s">
        <v>153</v>
      </c>
      <c r="BI85" s="9" t="s">
        <v>126</v>
      </c>
      <c r="BJ85" s="10" t="str">
        <f t="shared" si="4"/>
        <v>subtropic</v>
      </c>
      <c r="BK85" s="11" t="s">
        <v>137</v>
      </c>
    </row>
    <row r="86" ht="28.5" spans="1:63">
      <c r="A86">
        <v>85</v>
      </c>
      <c r="B86" t="s">
        <v>461</v>
      </c>
      <c r="C86" t="s">
        <v>462</v>
      </c>
      <c r="D86" t="s">
        <v>463</v>
      </c>
      <c r="E86" t="s">
        <v>464</v>
      </c>
      <c r="F86">
        <v>2021</v>
      </c>
      <c r="G86" s="12" t="s">
        <v>465</v>
      </c>
      <c r="H86" t="s">
        <v>145</v>
      </c>
      <c r="I86">
        <v>-29.3646</v>
      </c>
      <c r="J86">
        <v>-51.6658</v>
      </c>
      <c r="K86">
        <v>14</v>
      </c>
      <c r="L86" t="s">
        <v>89</v>
      </c>
      <c r="M86" t="str">
        <f t="shared" si="5"/>
        <v>Group C</v>
      </c>
      <c r="N86" t="s">
        <v>70</v>
      </c>
      <c r="O86" t="s">
        <v>146</v>
      </c>
      <c r="P86" t="s">
        <v>277</v>
      </c>
      <c r="Q86" t="s">
        <v>217</v>
      </c>
      <c r="R86" t="s">
        <v>277</v>
      </c>
      <c r="S86" t="s">
        <v>279</v>
      </c>
      <c r="T86" t="s">
        <v>74</v>
      </c>
      <c r="U86" t="s">
        <v>75</v>
      </c>
      <c r="V86" s="1" t="s">
        <v>467</v>
      </c>
      <c r="W86" s="1" t="s">
        <v>77</v>
      </c>
      <c r="X86" s="1" t="s">
        <v>172</v>
      </c>
      <c r="Y86" s="1" t="s">
        <v>324</v>
      </c>
      <c r="Z86" s="1" t="s">
        <v>325</v>
      </c>
      <c r="AA86" s="13">
        <v>121</v>
      </c>
      <c r="AB86" s="13" t="s">
        <v>174</v>
      </c>
      <c r="AC86" s="13" t="s">
        <v>80</v>
      </c>
      <c r="AQ86" s="7">
        <v>16</v>
      </c>
      <c r="AR86" s="15" t="s">
        <v>468</v>
      </c>
      <c r="AS86" s="15" t="s">
        <v>469</v>
      </c>
      <c r="AT86" s="7" t="s">
        <v>122</v>
      </c>
      <c r="AU86" s="7">
        <v>1.118476</v>
      </c>
      <c r="AV86" s="7">
        <v>66</v>
      </c>
      <c r="AW86" s="7">
        <v>0.546649</v>
      </c>
      <c r="AX86" s="7">
        <v>0.900931</v>
      </c>
      <c r="AY86" s="7">
        <v>91</v>
      </c>
      <c r="AZ86" s="7">
        <v>0.425704</v>
      </c>
      <c r="BA86" s="7">
        <v>1.018279</v>
      </c>
      <c r="BB86" s="7">
        <v>168</v>
      </c>
      <c r="BC86" s="7">
        <v>0.519079</v>
      </c>
      <c r="BD86" s="29" t="s">
        <v>98</v>
      </c>
      <c r="BG86" s="7" t="s">
        <v>101</v>
      </c>
      <c r="BH86" s="9" t="s">
        <v>153</v>
      </c>
      <c r="BI86" s="9" t="s">
        <v>126</v>
      </c>
      <c r="BJ86" s="10" t="str">
        <f t="shared" si="4"/>
        <v>subtropic</v>
      </c>
      <c r="BK86" s="11" t="s">
        <v>137</v>
      </c>
    </row>
    <row r="87" ht="28.5" spans="1:63">
      <c r="A87">
        <v>86</v>
      </c>
      <c r="B87" t="s">
        <v>461</v>
      </c>
      <c r="C87" t="s">
        <v>462</v>
      </c>
      <c r="D87" t="s">
        <v>463</v>
      </c>
      <c r="E87" t="s">
        <v>464</v>
      </c>
      <c r="F87">
        <v>2021</v>
      </c>
      <c r="G87" s="12" t="s">
        <v>465</v>
      </c>
      <c r="H87" t="s">
        <v>145</v>
      </c>
      <c r="I87">
        <v>-29.3646</v>
      </c>
      <c r="J87">
        <v>-51.6658</v>
      </c>
      <c r="K87">
        <v>14</v>
      </c>
      <c r="L87" t="s">
        <v>89</v>
      </c>
      <c r="M87" t="str">
        <f t="shared" si="5"/>
        <v>Group C</v>
      </c>
      <c r="N87" t="s">
        <v>70</v>
      </c>
      <c r="O87" t="s">
        <v>146</v>
      </c>
      <c r="P87" t="s">
        <v>277</v>
      </c>
      <c r="Q87" t="s">
        <v>217</v>
      </c>
      <c r="R87" t="s">
        <v>277</v>
      </c>
      <c r="S87" t="s">
        <v>279</v>
      </c>
      <c r="T87" t="s">
        <v>74</v>
      </c>
      <c r="U87" t="s">
        <v>75</v>
      </c>
      <c r="V87" s="1" t="s">
        <v>470</v>
      </c>
      <c r="W87" s="1" t="s">
        <v>77</v>
      </c>
      <c r="X87" s="1" t="s">
        <v>172</v>
      </c>
      <c r="Y87" s="1" t="s">
        <v>324</v>
      </c>
      <c r="Z87" s="1" t="s">
        <v>325</v>
      </c>
      <c r="AA87" s="13">
        <v>121</v>
      </c>
      <c r="AB87" s="13" t="s">
        <v>174</v>
      </c>
      <c r="AC87" s="13" t="s">
        <v>80</v>
      </c>
      <c r="AQ87" s="7">
        <v>17</v>
      </c>
      <c r="AR87" s="15" t="s">
        <v>468</v>
      </c>
      <c r="AS87" s="15" t="s">
        <v>469</v>
      </c>
      <c r="AT87" s="7" t="s">
        <v>122</v>
      </c>
      <c r="AU87" s="7">
        <v>1.265507</v>
      </c>
      <c r="AV87" s="7">
        <v>78</v>
      </c>
      <c r="AW87" s="7">
        <v>0.621376</v>
      </c>
      <c r="AX87" s="7">
        <v>0.882999</v>
      </c>
      <c r="AY87" s="7">
        <v>91</v>
      </c>
      <c r="AZ87" s="7">
        <v>0.407654</v>
      </c>
      <c r="BA87" s="7">
        <v>1.160314</v>
      </c>
      <c r="BB87" s="7">
        <v>182</v>
      </c>
      <c r="BC87" s="7">
        <v>0.600823</v>
      </c>
      <c r="BD87" s="29" t="s">
        <v>98</v>
      </c>
      <c r="BG87" s="7" t="s">
        <v>101</v>
      </c>
      <c r="BH87" s="9" t="s">
        <v>153</v>
      </c>
      <c r="BI87" s="9" t="s">
        <v>126</v>
      </c>
      <c r="BJ87" s="10" t="str">
        <f t="shared" si="4"/>
        <v>subtropic</v>
      </c>
      <c r="BK87" s="11" t="s">
        <v>137</v>
      </c>
    </row>
    <row r="88" ht="42.75" spans="1:63">
      <c r="A88">
        <v>87</v>
      </c>
      <c r="B88" t="s">
        <v>471</v>
      </c>
      <c r="C88" t="s">
        <v>472</v>
      </c>
      <c r="D88" t="s">
        <v>473</v>
      </c>
      <c r="E88" t="s">
        <v>474</v>
      </c>
      <c r="F88">
        <v>2021</v>
      </c>
      <c r="G88" s="12" t="s">
        <v>475</v>
      </c>
      <c r="H88" t="s">
        <v>476</v>
      </c>
      <c r="I88">
        <v>51.7612</v>
      </c>
      <c r="J88">
        <v>-1.2465</v>
      </c>
      <c r="K88">
        <v>15</v>
      </c>
      <c r="L88" t="s">
        <v>357</v>
      </c>
      <c r="M88" t="str">
        <f t="shared" si="5"/>
        <v>Group C</v>
      </c>
      <c r="N88" t="s">
        <v>182</v>
      </c>
      <c r="O88" t="s">
        <v>183</v>
      </c>
      <c r="P88" t="s">
        <v>277</v>
      </c>
      <c r="Q88" t="s">
        <v>278</v>
      </c>
      <c r="R88" t="s">
        <v>277</v>
      </c>
      <c r="S88" t="s">
        <v>279</v>
      </c>
      <c r="T88" t="s">
        <v>280</v>
      </c>
      <c r="U88" t="s">
        <v>75</v>
      </c>
      <c r="V88" s="1" t="s">
        <v>172</v>
      </c>
      <c r="W88" s="1" t="s">
        <v>77</v>
      </c>
      <c r="X88" s="1" t="s">
        <v>172</v>
      </c>
      <c r="Y88" s="1" t="s">
        <v>172</v>
      </c>
      <c r="Z88" s="1" t="s">
        <v>173</v>
      </c>
      <c r="AA88" s="13">
        <v>65</v>
      </c>
      <c r="AB88" s="13" t="s">
        <v>119</v>
      </c>
      <c r="AC88" s="13" t="s">
        <v>80</v>
      </c>
      <c r="AD88" s="3">
        <v>36.066</v>
      </c>
      <c r="AE88" s="3">
        <v>20</v>
      </c>
      <c r="AF88" s="3">
        <v>26.05</v>
      </c>
      <c r="AG88" s="4">
        <v>10.58</v>
      </c>
      <c r="AH88" s="3">
        <v>30</v>
      </c>
      <c r="AI88" s="3">
        <v>9.367</v>
      </c>
      <c r="AQ88" s="7">
        <v>45</v>
      </c>
      <c r="AR88" s="15" t="s">
        <v>477</v>
      </c>
      <c r="AS88" s="15" t="s">
        <v>478</v>
      </c>
      <c r="AT88" s="7" t="s">
        <v>122</v>
      </c>
      <c r="AU88" s="7">
        <v>0.712682</v>
      </c>
      <c r="AV88" s="7">
        <v>435</v>
      </c>
      <c r="AW88" s="7">
        <v>0.342664</v>
      </c>
      <c r="AX88" s="7">
        <v>0.599708</v>
      </c>
      <c r="AY88" s="7">
        <v>190</v>
      </c>
      <c r="AZ88" s="7">
        <v>0.335961</v>
      </c>
      <c r="BA88" s="7">
        <v>1.046918</v>
      </c>
      <c r="BB88" s="7">
        <v>600</v>
      </c>
      <c r="BC88" s="7">
        <v>0.39989</v>
      </c>
      <c r="BD88" s="29" t="s">
        <v>98</v>
      </c>
      <c r="BG88" s="7" t="s">
        <v>479</v>
      </c>
      <c r="BH88" s="9" t="s">
        <v>82</v>
      </c>
      <c r="BI88" s="9" t="s">
        <v>82</v>
      </c>
      <c r="BJ88" s="10" t="str">
        <f t="shared" si="4"/>
        <v>temperate</v>
      </c>
      <c r="BK88" s="11" t="s">
        <v>137</v>
      </c>
    </row>
    <row r="89" ht="42.75" spans="1:63">
      <c r="A89">
        <v>88</v>
      </c>
      <c r="B89" t="s">
        <v>480</v>
      </c>
      <c r="C89" t="s">
        <v>481</v>
      </c>
      <c r="D89" t="s">
        <v>482</v>
      </c>
      <c r="E89" t="s">
        <v>483</v>
      </c>
      <c r="F89">
        <v>2021</v>
      </c>
      <c r="G89" s="12" t="s">
        <v>484</v>
      </c>
      <c r="H89" t="s">
        <v>208</v>
      </c>
      <c r="I89">
        <v>-34.426</v>
      </c>
      <c r="J89">
        <v>-58.538</v>
      </c>
      <c r="K89">
        <v>14</v>
      </c>
      <c r="L89" t="s">
        <v>89</v>
      </c>
      <c r="M89" t="str">
        <f t="shared" si="5"/>
        <v>Group C</v>
      </c>
      <c r="N89" t="s">
        <v>70</v>
      </c>
      <c r="O89" t="s">
        <v>146</v>
      </c>
      <c r="P89" t="s">
        <v>72</v>
      </c>
      <c r="Q89" t="s">
        <v>72</v>
      </c>
      <c r="R89" t="s">
        <v>72</v>
      </c>
      <c r="S89" t="s">
        <v>73</v>
      </c>
      <c r="T89" t="s">
        <v>74</v>
      </c>
      <c r="U89" t="s">
        <v>75</v>
      </c>
      <c r="V89" s="1" t="s">
        <v>485</v>
      </c>
      <c r="X89" s="1" t="s">
        <v>172</v>
      </c>
      <c r="Y89" s="1" t="s">
        <v>286</v>
      </c>
      <c r="Z89" s="1" t="s">
        <v>287</v>
      </c>
      <c r="AA89" s="13">
        <v>70</v>
      </c>
      <c r="AB89" s="13" t="s">
        <v>119</v>
      </c>
      <c r="AC89" s="13" t="s">
        <v>80</v>
      </c>
      <c r="AQ89" s="7">
        <v>18</v>
      </c>
      <c r="AR89" s="15" t="s">
        <v>486</v>
      </c>
      <c r="AS89" s="15" t="s">
        <v>487</v>
      </c>
      <c r="AT89" s="7" t="s">
        <v>122</v>
      </c>
      <c r="AU89" s="7">
        <v>1.279645</v>
      </c>
      <c r="AV89" s="7">
        <v>21</v>
      </c>
      <c r="AW89" s="7">
        <v>0.630862</v>
      </c>
      <c r="AX89" s="7">
        <v>0.705585</v>
      </c>
      <c r="AY89" s="7">
        <v>66</v>
      </c>
      <c r="AZ89" s="7">
        <v>0.425493</v>
      </c>
      <c r="BA89" s="7">
        <v>1.59812</v>
      </c>
      <c r="BB89" s="7">
        <v>84</v>
      </c>
      <c r="BC89" s="7">
        <v>0.502235</v>
      </c>
      <c r="BD89" s="29" t="s">
        <v>98</v>
      </c>
      <c r="BG89" s="7" t="s">
        <v>101</v>
      </c>
      <c r="BH89" s="9" t="s">
        <v>82</v>
      </c>
      <c r="BI89" s="9" t="s">
        <v>82</v>
      </c>
      <c r="BJ89" s="10" t="str">
        <f t="shared" si="4"/>
        <v>subtropic</v>
      </c>
      <c r="BK89" s="11" t="s">
        <v>137</v>
      </c>
    </row>
    <row r="90" s="28" customFormat="1" ht="28.5" spans="1:63">
      <c r="A90">
        <v>89</v>
      </c>
      <c r="B90" t="s">
        <v>488</v>
      </c>
      <c r="C90" t="s">
        <v>489</v>
      </c>
      <c r="D90" t="s">
        <v>490</v>
      </c>
      <c r="E90" t="s">
        <v>491</v>
      </c>
      <c r="F90">
        <v>2021</v>
      </c>
      <c r="G90" s="17" t="s">
        <v>492</v>
      </c>
      <c r="H90" t="s">
        <v>493</v>
      </c>
      <c r="I90">
        <v>-26.716</v>
      </c>
      <c r="J90">
        <v>27.1</v>
      </c>
      <c r="K90">
        <v>7</v>
      </c>
      <c r="L90" t="s">
        <v>494</v>
      </c>
      <c r="M90" t="str">
        <f t="shared" si="5"/>
        <v>Group B</v>
      </c>
      <c r="N90" t="s">
        <v>70</v>
      </c>
      <c r="O90" t="s">
        <v>445</v>
      </c>
      <c r="P90" t="s">
        <v>72</v>
      </c>
      <c r="Q90" t="s">
        <v>72</v>
      </c>
      <c r="R90" t="s">
        <v>340</v>
      </c>
      <c r="S90" t="s">
        <v>495</v>
      </c>
      <c r="T90" t="s">
        <v>74</v>
      </c>
      <c r="U90" t="s">
        <v>191</v>
      </c>
      <c r="V90" s="1" t="s">
        <v>191</v>
      </c>
      <c r="W90" s="1" t="s">
        <v>77</v>
      </c>
      <c r="X90" s="1" t="s">
        <v>191</v>
      </c>
      <c r="Y90" s="1" t="s">
        <v>191</v>
      </c>
      <c r="Z90" s="1" t="s">
        <v>191</v>
      </c>
      <c r="AA90" s="13">
        <v>26</v>
      </c>
      <c r="AB90" s="13" t="s">
        <v>79</v>
      </c>
      <c r="AC90" s="13" t="s">
        <v>80</v>
      </c>
      <c r="AD90" s="3">
        <v>26.563</v>
      </c>
      <c r="AE90" s="3">
        <v>12</v>
      </c>
      <c r="AF90" s="3">
        <v>6.882</v>
      </c>
      <c r="AG90" s="4">
        <v>53.232</v>
      </c>
      <c r="AH90" s="3">
        <v>2</v>
      </c>
      <c r="AI90" s="3">
        <v>5.679</v>
      </c>
      <c r="AJ90" s="5"/>
      <c r="AK90" s="14"/>
      <c r="AL90" s="14"/>
      <c r="AM90" s="14"/>
      <c r="AN90" s="14"/>
      <c r="AO90" s="14"/>
      <c r="AP90" s="14"/>
      <c r="AQ90" s="7"/>
      <c r="AR90" s="15"/>
      <c r="AS90" s="15"/>
      <c r="AT90" s="7"/>
      <c r="AU90" s="7"/>
      <c r="AV90" s="7"/>
      <c r="AW90" s="7"/>
      <c r="AX90" s="7"/>
      <c r="AY90" s="7"/>
      <c r="AZ90" s="7"/>
      <c r="BA90" s="7"/>
      <c r="BB90" s="7"/>
      <c r="BC90" s="7"/>
      <c r="BD90" s="29"/>
      <c r="BE90" s="8"/>
      <c r="BF90" s="1"/>
      <c r="BG90" s="7"/>
      <c r="BH90" s="9" t="s">
        <v>82</v>
      </c>
      <c r="BI90" s="9" t="s">
        <v>82</v>
      </c>
      <c r="BJ90" s="10" t="str">
        <f t="shared" si="4"/>
        <v>subtropic</v>
      </c>
      <c r="BK90" s="11" t="s">
        <v>137</v>
      </c>
    </row>
    <row r="91" ht="42.75" spans="1:63">
      <c r="A91">
        <v>90</v>
      </c>
      <c r="B91" t="s">
        <v>496</v>
      </c>
      <c r="C91" t="s">
        <v>497</v>
      </c>
      <c r="D91" t="s">
        <v>498</v>
      </c>
      <c r="E91" t="s">
        <v>499</v>
      </c>
      <c r="F91">
        <v>2021</v>
      </c>
      <c r="G91" s="17" t="s">
        <v>500</v>
      </c>
      <c r="H91" t="s">
        <v>68</v>
      </c>
      <c r="I91">
        <v>33</v>
      </c>
      <c r="J91">
        <v>110</v>
      </c>
      <c r="K91">
        <v>11</v>
      </c>
      <c r="L91" t="s">
        <v>111</v>
      </c>
      <c r="M91" t="str">
        <f t="shared" si="5"/>
        <v>Group C</v>
      </c>
      <c r="N91" t="s">
        <v>70</v>
      </c>
      <c r="O91" t="s">
        <v>71</v>
      </c>
      <c r="P91" t="s">
        <v>72</v>
      </c>
      <c r="Q91" t="s">
        <v>72</v>
      </c>
      <c r="R91" t="s">
        <v>72</v>
      </c>
      <c r="S91" t="s">
        <v>73</v>
      </c>
      <c r="T91" t="s">
        <v>74</v>
      </c>
      <c r="U91" t="s">
        <v>75</v>
      </c>
      <c r="V91" s="1" t="s">
        <v>172</v>
      </c>
      <c r="X91" s="1" t="s">
        <v>172</v>
      </c>
      <c r="Y91" s="1" t="s">
        <v>172</v>
      </c>
      <c r="Z91" s="1" t="s">
        <v>173</v>
      </c>
      <c r="AA91" s="13">
        <v>424</v>
      </c>
      <c r="AB91" s="13" t="s">
        <v>93</v>
      </c>
      <c r="AC91" s="13" t="s">
        <v>94</v>
      </c>
      <c r="AD91" s="3">
        <v>31.853</v>
      </c>
      <c r="AE91" s="3">
        <v>33</v>
      </c>
      <c r="AF91" s="3">
        <v>10.776</v>
      </c>
      <c r="AG91" s="24">
        <v>10</v>
      </c>
      <c r="AH91" s="3">
        <v>13</v>
      </c>
      <c r="AI91" s="3">
        <v>5.12</v>
      </c>
      <c r="AJ91" s="5" t="s">
        <v>81</v>
      </c>
      <c r="AK91" s="19">
        <v>2.8</v>
      </c>
      <c r="AL91" s="14">
        <v>33</v>
      </c>
      <c r="AM91" s="19">
        <v>0.398</v>
      </c>
      <c r="AN91" s="14">
        <v>1.68</v>
      </c>
      <c r="AO91" s="14">
        <v>13</v>
      </c>
      <c r="AP91" s="19">
        <v>0.57</v>
      </c>
      <c r="BH91" s="9" t="s">
        <v>82</v>
      </c>
      <c r="BI91" s="9" t="s">
        <v>82</v>
      </c>
      <c r="BJ91" s="10" t="str">
        <f t="shared" si="4"/>
        <v>subtropic</v>
      </c>
      <c r="BK91" s="11" t="s">
        <v>164</v>
      </c>
    </row>
    <row r="92" ht="28.5" spans="1:63">
      <c r="A92">
        <v>91</v>
      </c>
      <c r="B92" t="s">
        <v>501</v>
      </c>
      <c r="C92" t="s">
        <v>502</v>
      </c>
      <c r="D92" t="s">
        <v>503</v>
      </c>
      <c r="E92" t="s">
        <v>504</v>
      </c>
      <c r="F92">
        <v>2021</v>
      </c>
      <c r="G92" s="12" t="s">
        <v>505</v>
      </c>
      <c r="H92" t="s">
        <v>208</v>
      </c>
      <c r="I92">
        <v>-34.8</v>
      </c>
      <c r="J92">
        <v>-58.6</v>
      </c>
      <c r="K92">
        <v>14</v>
      </c>
      <c r="L92" t="s">
        <v>89</v>
      </c>
      <c r="M92" t="str">
        <f t="shared" ref="M92:M123" si="6">"Group "&amp;LEFT(L92,1)</f>
        <v>Group C</v>
      </c>
      <c r="N92" t="s">
        <v>70</v>
      </c>
      <c r="O92" t="s">
        <v>146</v>
      </c>
      <c r="P92" t="s">
        <v>72</v>
      </c>
      <c r="Q92" t="s">
        <v>72</v>
      </c>
      <c r="R92" t="s">
        <v>72</v>
      </c>
      <c r="S92" t="s">
        <v>73</v>
      </c>
      <c r="T92" t="s">
        <v>74</v>
      </c>
      <c r="U92" t="s">
        <v>75</v>
      </c>
      <c r="V92" s="1" t="s">
        <v>117</v>
      </c>
      <c r="W92" s="1" t="s">
        <v>77</v>
      </c>
      <c r="X92" s="1" t="s">
        <v>117</v>
      </c>
      <c r="Y92" s="1" t="s">
        <v>117</v>
      </c>
      <c r="Z92" s="1" t="s">
        <v>118</v>
      </c>
      <c r="AA92" s="13">
        <v>86.8</v>
      </c>
      <c r="AB92" s="13" t="s">
        <v>119</v>
      </c>
      <c r="AC92" s="13" t="s">
        <v>80</v>
      </c>
      <c r="AD92" s="3">
        <v>7.074</v>
      </c>
      <c r="AE92" s="3">
        <v>6</v>
      </c>
      <c r="AF92" s="3">
        <v>4.018</v>
      </c>
      <c r="AG92" s="4">
        <v>2.309</v>
      </c>
      <c r="AH92" s="3">
        <v>3</v>
      </c>
      <c r="AI92" s="3">
        <v>1.789</v>
      </c>
      <c r="AJ92" s="5" t="s">
        <v>81</v>
      </c>
      <c r="AK92" s="14">
        <v>1.49</v>
      </c>
      <c r="AL92" s="14">
        <v>6</v>
      </c>
      <c r="AM92" s="14">
        <v>0.919</v>
      </c>
      <c r="AN92" s="14">
        <v>0.764</v>
      </c>
      <c r="AO92" s="14">
        <v>3</v>
      </c>
      <c r="AP92" s="14">
        <v>0.873</v>
      </c>
      <c r="BH92" s="9" t="s">
        <v>82</v>
      </c>
      <c r="BI92" s="9" t="s">
        <v>82</v>
      </c>
      <c r="BJ92" s="10" t="str">
        <f t="shared" si="4"/>
        <v>subtropic</v>
      </c>
      <c r="BK92" s="11" t="s">
        <v>137</v>
      </c>
    </row>
    <row r="93" ht="42.75" spans="1:63">
      <c r="A93">
        <v>92</v>
      </c>
      <c r="B93" t="s">
        <v>506</v>
      </c>
      <c r="C93" t="s">
        <v>507</v>
      </c>
      <c r="D93" t="s">
        <v>508</v>
      </c>
      <c r="E93" t="s">
        <v>509</v>
      </c>
      <c r="F93">
        <v>2021</v>
      </c>
      <c r="G93" s="12" t="s">
        <v>510</v>
      </c>
      <c r="H93" t="s">
        <v>511</v>
      </c>
      <c r="I93">
        <v>18.43</v>
      </c>
      <c r="J93">
        <v>-66.05</v>
      </c>
      <c r="K93">
        <v>1</v>
      </c>
      <c r="L93" t="s">
        <v>512</v>
      </c>
      <c r="M93" t="str">
        <f t="shared" si="6"/>
        <v>Group A</v>
      </c>
      <c r="N93" t="s">
        <v>182</v>
      </c>
      <c r="O93" t="s">
        <v>146</v>
      </c>
      <c r="P93" t="s">
        <v>513</v>
      </c>
      <c r="Q93" t="s">
        <v>113</v>
      </c>
      <c r="R93" t="s">
        <v>114</v>
      </c>
      <c r="S93" t="s">
        <v>514</v>
      </c>
      <c r="T93" t="s">
        <v>116</v>
      </c>
      <c r="U93" t="s">
        <v>75</v>
      </c>
      <c r="V93" s="1" t="s">
        <v>76</v>
      </c>
      <c r="W93" s="1" t="s">
        <v>239</v>
      </c>
      <c r="X93" s="1" t="s">
        <v>76</v>
      </c>
      <c r="Y93" s="1" t="s">
        <v>281</v>
      </c>
      <c r="Z93" s="1" t="s">
        <v>282</v>
      </c>
      <c r="AA93" s="13">
        <v>81</v>
      </c>
      <c r="AB93" s="13" t="s">
        <v>119</v>
      </c>
      <c r="AC93" s="13" t="s">
        <v>94</v>
      </c>
      <c r="AD93" s="3">
        <v>13.222</v>
      </c>
      <c r="AE93" s="3">
        <v>9</v>
      </c>
      <c r="AF93" s="3">
        <v>3.193</v>
      </c>
      <c r="AG93" s="4">
        <v>15.778</v>
      </c>
      <c r="AH93" s="3">
        <v>9</v>
      </c>
      <c r="AI93" s="3">
        <v>2.333</v>
      </c>
      <c r="BH93" s="9" t="s">
        <v>515</v>
      </c>
      <c r="BI93" s="9" t="s">
        <v>126</v>
      </c>
      <c r="BJ93" s="10" t="str">
        <f t="shared" si="4"/>
        <v>tropic</v>
      </c>
      <c r="BK93" s="11" t="s">
        <v>164</v>
      </c>
    </row>
    <row r="94" ht="42.75" spans="1:63">
      <c r="A94">
        <v>93</v>
      </c>
      <c r="B94" t="s">
        <v>506</v>
      </c>
      <c r="C94" t="s">
        <v>507</v>
      </c>
      <c r="D94" t="s">
        <v>508</v>
      </c>
      <c r="E94" t="s">
        <v>509</v>
      </c>
      <c r="F94">
        <v>2021</v>
      </c>
      <c r="G94" s="12" t="s">
        <v>510</v>
      </c>
      <c r="H94" t="s">
        <v>511</v>
      </c>
      <c r="I94">
        <v>18.43</v>
      </c>
      <c r="J94">
        <v>-66.05</v>
      </c>
      <c r="K94">
        <v>1</v>
      </c>
      <c r="L94" t="s">
        <v>512</v>
      </c>
      <c r="M94" t="str">
        <f t="shared" si="6"/>
        <v>Group A</v>
      </c>
      <c r="N94" t="s">
        <v>182</v>
      </c>
      <c r="O94" t="s">
        <v>146</v>
      </c>
      <c r="P94" t="s">
        <v>513</v>
      </c>
      <c r="Q94" t="s">
        <v>113</v>
      </c>
      <c r="R94" t="s">
        <v>114</v>
      </c>
      <c r="S94" t="s">
        <v>514</v>
      </c>
      <c r="T94" t="s">
        <v>116</v>
      </c>
      <c r="U94" t="s">
        <v>75</v>
      </c>
      <c r="V94" s="1" t="s">
        <v>516</v>
      </c>
      <c r="W94" s="1" t="s">
        <v>239</v>
      </c>
      <c r="X94" s="1" t="s">
        <v>284</v>
      </c>
      <c r="Y94" s="1" t="s">
        <v>281</v>
      </c>
      <c r="Z94" s="1" t="s">
        <v>282</v>
      </c>
      <c r="AA94" s="13">
        <v>81</v>
      </c>
      <c r="AB94" s="13" t="s">
        <v>119</v>
      </c>
      <c r="AC94" s="13" t="s">
        <v>94</v>
      </c>
      <c r="AD94" s="3">
        <v>1.444</v>
      </c>
      <c r="AE94" s="3">
        <v>9</v>
      </c>
      <c r="AF94" s="3">
        <v>1.333</v>
      </c>
      <c r="AG94" s="4">
        <v>2.333</v>
      </c>
      <c r="AH94" s="3">
        <v>9</v>
      </c>
      <c r="AI94" s="3">
        <v>1.323</v>
      </c>
      <c r="BH94" s="9" t="s">
        <v>515</v>
      </c>
      <c r="BI94" s="9" t="s">
        <v>126</v>
      </c>
      <c r="BJ94" s="10" t="str">
        <f t="shared" si="4"/>
        <v>tropic</v>
      </c>
      <c r="BK94" s="11" t="s">
        <v>164</v>
      </c>
    </row>
    <row r="95" ht="42.75" spans="1:63">
      <c r="A95">
        <v>94</v>
      </c>
      <c r="B95" t="s">
        <v>517</v>
      </c>
      <c r="C95" t="s">
        <v>518</v>
      </c>
      <c r="D95" t="s">
        <v>519</v>
      </c>
      <c r="E95" t="s">
        <v>520</v>
      </c>
      <c r="F95">
        <v>2020</v>
      </c>
      <c r="G95" s="12" t="s">
        <v>521</v>
      </c>
      <c r="H95" t="s">
        <v>522</v>
      </c>
      <c r="I95">
        <v>-37</v>
      </c>
      <c r="J95">
        <v>-73.6</v>
      </c>
      <c r="K95">
        <v>9</v>
      </c>
      <c r="L95" t="s">
        <v>171</v>
      </c>
      <c r="M95" t="str">
        <f t="shared" si="6"/>
        <v>Group C</v>
      </c>
      <c r="N95" t="s">
        <v>182</v>
      </c>
      <c r="O95" t="s">
        <v>146</v>
      </c>
      <c r="P95" t="s">
        <v>523</v>
      </c>
      <c r="Q95" t="s">
        <v>113</v>
      </c>
      <c r="R95" t="s">
        <v>268</v>
      </c>
      <c r="S95" t="s">
        <v>524</v>
      </c>
      <c r="T95" t="s">
        <v>116</v>
      </c>
      <c r="U95" t="s">
        <v>75</v>
      </c>
      <c r="V95" s="1" t="s">
        <v>172</v>
      </c>
      <c r="X95" s="1" t="s">
        <v>172</v>
      </c>
      <c r="Y95" s="1" t="s">
        <v>172</v>
      </c>
      <c r="Z95" s="1" t="s">
        <v>173</v>
      </c>
      <c r="AA95" s="13">
        <v>75</v>
      </c>
      <c r="AB95" s="13" t="s">
        <v>119</v>
      </c>
      <c r="AC95" s="13" t="s">
        <v>80</v>
      </c>
      <c r="AD95" s="3">
        <v>3.889</v>
      </c>
      <c r="AE95" s="3">
        <v>9</v>
      </c>
      <c r="AF95" s="3">
        <v>0.333</v>
      </c>
      <c r="AG95" s="4">
        <v>4.5</v>
      </c>
      <c r="AH95" s="3">
        <v>6</v>
      </c>
      <c r="AI95" s="3">
        <v>1.049</v>
      </c>
      <c r="AJ95" s="5" t="s">
        <v>81</v>
      </c>
      <c r="AK95" s="14">
        <v>1.311</v>
      </c>
      <c r="AL95" s="14">
        <v>9</v>
      </c>
      <c r="AM95" s="14">
        <v>0.159</v>
      </c>
      <c r="AN95" s="14">
        <v>1.267</v>
      </c>
      <c r="AO95" s="14">
        <v>6</v>
      </c>
      <c r="AP95" s="14">
        <v>0.505</v>
      </c>
      <c r="BE95" s="8" t="s">
        <v>135</v>
      </c>
      <c r="BH95" s="9" t="s">
        <v>82</v>
      </c>
      <c r="BI95" s="9" t="s">
        <v>82</v>
      </c>
      <c r="BJ95" s="10" t="str">
        <f t="shared" si="4"/>
        <v>subtropic</v>
      </c>
      <c r="BK95" s="11" t="s">
        <v>164</v>
      </c>
    </row>
    <row r="96" ht="42.75" spans="1:63">
      <c r="A96">
        <v>94</v>
      </c>
      <c r="B96" t="s">
        <v>517</v>
      </c>
      <c r="C96" t="s">
        <v>518</v>
      </c>
      <c r="D96" t="s">
        <v>519</v>
      </c>
      <c r="E96" t="s">
        <v>520</v>
      </c>
      <c r="F96">
        <v>2020</v>
      </c>
      <c r="G96" s="12" t="s">
        <v>521</v>
      </c>
      <c r="H96" t="s">
        <v>522</v>
      </c>
      <c r="I96">
        <v>-37</v>
      </c>
      <c r="J96">
        <v>-73.6</v>
      </c>
      <c r="K96">
        <v>9</v>
      </c>
      <c r="L96" t="s">
        <v>171</v>
      </c>
      <c r="M96" t="str">
        <f t="shared" si="6"/>
        <v>Group C</v>
      </c>
      <c r="N96" t="s">
        <v>182</v>
      </c>
      <c r="O96" t="s">
        <v>146</v>
      </c>
      <c r="P96" t="s">
        <v>523</v>
      </c>
      <c r="Q96" t="s">
        <v>113</v>
      </c>
      <c r="R96" t="s">
        <v>268</v>
      </c>
      <c r="S96" t="s">
        <v>524</v>
      </c>
      <c r="T96" t="s">
        <v>116</v>
      </c>
      <c r="U96" t="s">
        <v>75</v>
      </c>
      <c r="V96" s="1" t="s">
        <v>172</v>
      </c>
      <c r="X96" s="1" t="s">
        <v>172</v>
      </c>
      <c r="Y96" s="1" t="s">
        <v>172</v>
      </c>
      <c r="Z96" s="1" t="s">
        <v>173</v>
      </c>
      <c r="AA96" s="13">
        <v>75</v>
      </c>
      <c r="AB96" s="13" t="s">
        <v>119</v>
      </c>
      <c r="AC96" s="13" t="s">
        <v>80</v>
      </c>
      <c r="AD96" s="3">
        <v>4.556</v>
      </c>
      <c r="AE96" s="3">
        <v>9</v>
      </c>
      <c r="AF96" s="3">
        <v>1.509</v>
      </c>
      <c r="AG96" s="4">
        <v>4</v>
      </c>
      <c r="AH96" s="3">
        <v>6</v>
      </c>
      <c r="AI96" s="3">
        <v>0.894</v>
      </c>
      <c r="AJ96" s="5" t="s">
        <v>81</v>
      </c>
      <c r="AK96" s="14">
        <v>1.2</v>
      </c>
      <c r="AL96" s="14">
        <v>9</v>
      </c>
      <c r="AM96" s="19">
        <v>0.485</v>
      </c>
      <c r="AN96" s="14">
        <v>0.967</v>
      </c>
      <c r="AO96" s="14">
        <v>6</v>
      </c>
      <c r="AP96" s="14">
        <v>0.35</v>
      </c>
      <c r="BE96" s="8" t="s">
        <v>102</v>
      </c>
      <c r="BH96" s="9" t="s">
        <v>82</v>
      </c>
      <c r="BI96" s="9" t="s">
        <v>82</v>
      </c>
      <c r="BJ96" s="10" t="str">
        <f t="shared" si="4"/>
        <v>subtropic</v>
      </c>
      <c r="BK96" s="11" t="s">
        <v>164</v>
      </c>
    </row>
    <row r="97" ht="42.75" spans="1:63">
      <c r="A97">
        <v>95</v>
      </c>
      <c r="B97" t="s">
        <v>525</v>
      </c>
      <c r="C97" t="s">
        <v>526</v>
      </c>
      <c r="D97" t="s">
        <v>527</v>
      </c>
      <c r="E97" t="s">
        <v>528</v>
      </c>
      <c r="F97">
        <v>2020</v>
      </c>
      <c r="G97" s="12" t="s">
        <v>529</v>
      </c>
      <c r="H97" t="s">
        <v>530</v>
      </c>
      <c r="I97">
        <v>60.17</v>
      </c>
      <c r="J97">
        <v>24.94</v>
      </c>
      <c r="K97">
        <v>26</v>
      </c>
      <c r="L97" t="s">
        <v>181</v>
      </c>
      <c r="M97" t="str">
        <f t="shared" si="6"/>
        <v>Group D</v>
      </c>
      <c r="N97" t="s">
        <v>182</v>
      </c>
      <c r="O97" t="s">
        <v>183</v>
      </c>
      <c r="P97" t="s">
        <v>277</v>
      </c>
      <c r="Q97" t="s">
        <v>278</v>
      </c>
      <c r="R97" t="s">
        <v>277</v>
      </c>
      <c r="S97" t="s">
        <v>279</v>
      </c>
      <c r="T97" t="s">
        <v>280</v>
      </c>
      <c r="U97" t="s">
        <v>75</v>
      </c>
      <c r="V97" s="1" t="s">
        <v>531</v>
      </c>
      <c r="X97" s="1" t="s">
        <v>172</v>
      </c>
      <c r="Y97" s="1" t="s">
        <v>172</v>
      </c>
      <c r="Z97" s="1" t="s">
        <v>325</v>
      </c>
      <c r="AA97" s="13">
        <v>14</v>
      </c>
      <c r="AB97" s="13" t="s">
        <v>79</v>
      </c>
      <c r="AC97" s="13" t="s">
        <v>80</v>
      </c>
      <c r="AD97" s="3">
        <v>3.289</v>
      </c>
      <c r="AE97" s="3">
        <v>5</v>
      </c>
      <c r="AF97" s="3">
        <v>1.765</v>
      </c>
      <c r="AG97" s="4">
        <v>2.06</v>
      </c>
      <c r="AH97" s="3">
        <v>3</v>
      </c>
      <c r="AI97" s="3">
        <v>0.83</v>
      </c>
      <c r="BH97" s="9" t="s">
        <v>82</v>
      </c>
      <c r="BI97" s="9" t="s">
        <v>82</v>
      </c>
      <c r="BJ97" s="10" t="str">
        <f t="shared" si="4"/>
        <v>arctic</v>
      </c>
      <c r="BK97" s="11" t="s">
        <v>83</v>
      </c>
    </row>
    <row r="98" ht="42.75" spans="1:63">
      <c r="A98">
        <v>96</v>
      </c>
      <c r="B98" t="s">
        <v>532</v>
      </c>
      <c r="C98" t="s">
        <v>533</v>
      </c>
      <c r="D98" t="s">
        <v>534</v>
      </c>
      <c r="E98" t="s">
        <v>535</v>
      </c>
      <c r="F98">
        <v>2020</v>
      </c>
      <c r="G98" s="12" t="s">
        <v>536</v>
      </c>
      <c r="H98" t="s">
        <v>68</v>
      </c>
      <c r="I98">
        <v>37</v>
      </c>
      <c r="J98">
        <v>112</v>
      </c>
      <c r="K98">
        <v>21</v>
      </c>
      <c r="L98" t="s">
        <v>69</v>
      </c>
      <c r="M98" t="str">
        <f t="shared" si="6"/>
        <v>Group D</v>
      </c>
      <c r="N98" t="s">
        <v>70</v>
      </c>
      <c r="O98" t="s">
        <v>71</v>
      </c>
      <c r="P98" t="s">
        <v>72</v>
      </c>
      <c r="Q98" t="s">
        <v>72</v>
      </c>
      <c r="R98" t="s">
        <v>72</v>
      </c>
      <c r="S98" t="s">
        <v>73</v>
      </c>
      <c r="T98" t="s">
        <v>74</v>
      </c>
      <c r="U98" t="s">
        <v>75</v>
      </c>
      <c r="V98" s="1" t="s">
        <v>537</v>
      </c>
      <c r="X98" s="1" t="s">
        <v>172</v>
      </c>
      <c r="Y98" s="1" t="s">
        <v>172</v>
      </c>
      <c r="Z98" s="1" t="s">
        <v>538</v>
      </c>
      <c r="AA98" s="13">
        <v>80</v>
      </c>
      <c r="AB98" s="13" t="s">
        <v>119</v>
      </c>
      <c r="AC98" s="13" t="s">
        <v>80</v>
      </c>
      <c r="AD98" s="20">
        <v>7.655346</v>
      </c>
      <c r="AE98" s="3">
        <v>9</v>
      </c>
      <c r="AF98" s="20">
        <v>3.305</v>
      </c>
      <c r="AG98" s="4">
        <v>0.615</v>
      </c>
      <c r="AH98" s="3">
        <v>4</v>
      </c>
      <c r="AI98" s="20">
        <v>0.412</v>
      </c>
      <c r="AJ98" s="5" t="s">
        <v>81</v>
      </c>
      <c r="AK98" s="14">
        <v>1.756</v>
      </c>
      <c r="AL98" s="14">
        <v>9</v>
      </c>
      <c r="AM98" s="14">
        <v>0.304</v>
      </c>
      <c r="AN98" s="14">
        <v>0.279</v>
      </c>
      <c r="AO98" s="14">
        <v>5</v>
      </c>
      <c r="AP98" s="14">
        <v>0.288</v>
      </c>
      <c r="BH98" s="9" t="s">
        <v>82</v>
      </c>
      <c r="BI98" s="9" t="s">
        <v>82</v>
      </c>
      <c r="BJ98" s="10" t="str">
        <f t="shared" si="4"/>
        <v>subtropic</v>
      </c>
      <c r="BK98" s="11" t="s">
        <v>127</v>
      </c>
    </row>
    <row r="99" ht="28.5" spans="1:63">
      <c r="A99">
        <v>97</v>
      </c>
      <c r="B99" t="s">
        <v>539</v>
      </c>
      <c r="C99" t="s">
        <v>540</v>
      </c>
      <c r="D99" t="s">
        <v>541</v>
      </c>
      <c r="E99" t="s">
        <v>542</v>
      </c>
      <c r="F99">
        <v>2020</v>
      </c>
      <c r="G99" s="12" t="s">
        <v>543</v>
      </c>
      <c r="H99" t="s">
        <v>68</v>
      </c>
      <c r="I99">
        <v>23.0207</v>
      </c>
      <c r="J99">
        <v>113.7518</v>
      </c>
      <c r="K99">
        <v>11</v>
      </c>
      <c r="L99" t="s">
        <v>111</v>
      </c>
      <c r="M99" t="str">
        <f t="shared" si="6"/>
        <v>Group C</v>
      </c>
      <c r="N99" t="s">
        <v>70</v>
      </c>
      <c r="O99" t="s">
        <v>71</v>
      </c>
      <c r="P99" t="s">
        <v>544</v>
      </c>
      <c r="Q99" t="s">
        <v>278</v>
      </c>
      <c r="R99" t="s">
        <v>218</v>
      </c>
      <c r="S99" t="s">
        <v>545</v>
      </c>
      <c r="T99" t="s">
        <v>280</v>
      </c>
      <c r="U99" t="s">
        <v>75</v>
      </c>
      <c r="V99" s="1" t="s">
        <v>344</v>
      </c>
      <c r="X99" s="1" t="s">
        <v>344</v>
      </c>
      <c r="Y99" s="1" t="s">
        <v>344</v>
      </c>
      <c r="Z99" s="1" t="s">
        <v>344</v>
      </c>
      <c r="AA99" s="13">
        <v>56.5</v>
      </c>
      <c r="AB99" s="13" t="s">
        <v>119</v>
      </c>
      <c r="AC99" s="13" t="s">
        <v>80</v>
      </c>
      <c r="AD99" s="3">
        <v>8.487</v>
      </c>
      <c r="AE99" s="3">
        <v>6</v>
      </c>
      <c r="AF99" s="3">
        <v>3.084</v>
      </c>
      <c r="AG99" s="4">
        <v>7.766</v>
      </c>
      <c r="AH99" s="3">
        <v>8</v>
      </c>
      <c r="AI99" s="3">
        <v>4.92</v>
      </c>
      <c r="BE99" s="8" t="s">
        <v>123</v>
      </c>
      <c r="BH99" s="9" t="s">
        <v>125</v>
      </c>
      <c r="BI99" s="9" t="s">
        <v>126</v>
      </c>
      <c r="BJ99" s="10" t="str">
        <f t="shared" si="4"/>
        <v>tropic</v>
      </c>
      <c r="BK99" s="11" t="s">
        <v>137</v>
      </c>
    </row>
    <row r="100" ht="28.5" spans="1:63">
      <c r="A100">
        <v>98</v>
      </c>
      <c r="B100" t="s">
        <v>539</v>
      </c>
      <c r="C100" t="s">
        <v>540</v>
      </c>
      <c r="D100" t="s">
        <v>541</v>
      </c>
      <c r="E100" t="s">
        <v>542</v>
      </c>
      <c r="F100">
        <v>2020</v>
      </c>
      <c r="G100" s="12" t="s">
        <v>543</v>
      </c>
      <c r="H100" t="s">
        <v>68</v>
      </c>
      <c r="I100">
        <v>23.0207</v>
      </c>
      <c r="J100">
        <v>113.7518</v>
      </c>
      <c r="K100">
        <v>11</v>
      </c>
      <c r="L100" t="s">
        <v>111</v>
      </c>
      <c r="M100" t="str">
        <f t="shared" si="6"/>
        <v>Group C</v>
      </c>
      <c r="N100" t="s">
        <v>70</v>
      </c>
      <c r="O100" t="s">
        <v>71</v>
      </c>
      <c r="P100" t="s">
        <v>544</v>
      </c>
      <c r="Q100" t="s">
        <v>278</v>
      </c>
      <c r="R100" t="s">
        <v>218</v>
      </c>
      <c r="S100" t="s">
        <v>545</v>
      </c>
      <c r="T100" t="s">
        <v>280</v>
      </c>
      <c r="U100" t="s">
        <v>75</v>
      </c>
      <c r="V100" s="1" t="s">
        <v>344</v>
      </c>
      <c r="X100" s="1" t="s">
        <v>344</v>
      </c>
      <c r="Y100" s="1" t="s">
        <v>344</v>
      </c>
      <c r="Z100" s="1" t="s">
        <v>344</v>
      </c>
      <c r="AA100" s="13">
        <v>56.5</v>
      </c>
      <c r="AB100" s="13" t="s">
        <v>119</v>
      </c>
      <c r="AC100" s="13" t="s">
        <v>80</v>
      </c>
      <c r="AD100" s="3">
        <v>11.125</v>
      </c>
      <c r="AE100" s="3">
        <v>10</v>
      </c>
      <c r="AF100" s="3">
        <v>6.393</v>
      </c>
      <c r="AG100" s="4">
        <v>12.017</v>
      </c>
      <c r="AH100" s="3">
        <v>8</v>
      </c>
      <c r="AI100" s="3">
        <v>5.786</v>
      </c>
      <c r="BE100" s="8" t="s">
        <v>546</v>
      </c>
      <c r="BH100" s="9" t="s">
        <v>125</v>
      </c>
      <c r="BI100" s="9" t="s">
        <v>126</v>
      </c>
      <c r="BJ100" s="10" t="str">
        <f t="shared" si="4"/>
        <v>tropic</v>
      </c>
      <c r="BK100" s="11" t="s">
        <v>137</v>
      </c>
    </row>
    <row r="101" ht="28.5" spans="1:63">
      <c r="A101">
        <v>99</v>
      </c>
      <c r="B101" t="s">
        <v>539</v>
      </c>
      <c r="C101" t="s">
        <v>540</v>
      </c>
      <c r="D101" t="s">
        <v>541</v>
      </c>
      <c r="E101" t="s">
        <v>542</v>
      </c>
      <c r="F101">
        <v>2020</v>
      </c>
      <c r="G101" s="12" t="s">
        <v>543</v>
      </c>
      <c r="H101" t="s">
        <v>68</v>
      </c>
      <c r="I101">
        <v>23.0207</v>
      </c>
      <c r="J101">
        <v>113.7518</v>
      </c>
      <c r="K101">
        <v>11</v>
      </c>
      <c r="L101" t="s">
        <v>111</v>
      </c>
      <c r="M101" t="str">
        <f t="shared" si="6"/>
        <v>Group C</v>
      </c>
      <c r="N101" t="s">
        <v>70</v>
      </c>
      <c r="O101" t="s">
        <v>71</v>
      </c>
      <c r="P101" t="s">
        <v>544</v>
      </c>
      <c r="Q101" t="s">
        <v>278</v>
      </c>
      <c r="R101" t="s">
        <v>218</v>
      </c>
      <c r="S101" t="s">
        <v>545</v>
      </c>
      <c r="T101" t="s">
        <v>280</v>
      </c>
      <c r="U101" t="s">
        <v>75</v>
      </c>
      <c r="V101" s="1" t="s">
        <v>344</v>
      </c>
      <c r="X101" s="1" t="s">
        <v>344</v>
      </c>
      <c r="Y101" s="1" t="s">
        <v>344</v>
      </c>
      <c r="Z101" s="1" t="s">
        <v>344</v>
      </c>
      <c r="AA101" s="13">
        <v>56.5</v>
      </c>
      <c r="AB101" s="13" t="s">
        <v>119</v>
      </c>
      <c r="AC101" s="13" t="s">
        <v>80</v>
      </c>
      <c r="AD101" s="3">
        <v>12.812</v>
      </c>
      <c r="AE101" s="3">
        <v>10</v>
      </c>
      <c r="AF101" s="3">
        <v>5.428</v>
      </c>
      <c r="AG101" s="4">
        <v>14.53</v>
      </c>
      <c r="AH101" s="3">
        <v>10</v>
      </c>
      <c r="AI101" s="3">
        <v>4.618</v>
      </c>
      <c r="BE101" s="8" t="s">
        <v>129</v>
      </c>
      <c r="BH101" s="9" t="s">
        <v>125</v>
      </c>
      <c r="BI101" s="9" t="s">
        <v>126</v>
      </c>
      <c r="BJ101" s="10" t="str">
        <f t="shared" si="4"/>
        <v>tropic</v>
      </c>
      <c r="BK101" s="11" t="s">
        <v>137</v>
      </c>
    </row>
    <row r="102" ht="28.5" spans="1:63">
      <c r="A102">
        <v>100</v>
      </c>
      <c r="B102" t="s">
        <v>547</v>
      </c>
      <c r="C102" t="s">
        <v>548</v>
      </c>
      <c r="D102" t="s">
        <v>549</v>
      </c>
      <c r="E102" t="s">
        <v>550</v>
      </c>
      <c r="F102">
        <v>2020</v>
      </c>
      <c r="G102" s="12" t="s">
        <v>551</v>
      </c>
      <c r="H102" t="s">
        <v>276</v>
      </c>
      <c r="I102">
        <v>40.0155</v>
      </c>
      <c r="J102">
        <v>-82.9932</v>
      </c>
      <c r="K102">
        <v>25</v>
      </c>
      <c r="L102" t="s">
        <v>216</v>
      </c>
      <c r="M102" t="str">
        <f t="shared" si="6"/>
        <v>Group D</v>
      </c>
      <c r="N102" t="s">
        <v>182</v>
      </c>
      <c r="O102" t="s">
        <v>183</v>
      </c>
      <c r="P102" t="s">
        <v>72</v>
      </c>
      <c r="Q102" t="s">
        <v>72</v>
      </c>
      <c r="R102" t="s">
        <v>72</v>
      </c>
      <c r="S102" t="s">
        <v>73</v>
      </c>
      <c r="T102" t="s">
        <v>74</v>
      </c>
      <c r="U102" t="s">
        <v>75</v>
      </c>
      <c r="V102" s="1" t="s">
        <v>117</v>
      </c>
      <c r="W102" s="1" t="s">
        <v>239</v>
      </c>
      <c r="X102" s="1" t="s">
        <v>117</v>
      </c>
      <c r="Y102" s="1" t="s">
        <v>117</v>
      </c>
      <c r="Z102" s="1" t="s">
        <v>118</v>
      </c>
      <c r="AA102" s="13">
        <v>20</v>
      </c>
      <c r="AB102" s="13" t="s">
        <v>79</v>
      </c>
      <c r="AC102" s="13" t="s">
        <v>80</v>
      </c>
      <c r="AD102" s="3">
        <v>12</v>
      </c>
      <c r="AE102" s="3">
        <v>3</v>
      </c>
      <c r="AF102" s="3">
        <v>3</v>
      </c>
      <c r="AG102" s="4">
        <v>5.5</v>
      </c>
      <c r="AH102" s="3">
        <v>4</v>
      </c>
      <c r="AI102" s="3">
        <v>0.577</v>
      </c>
      <c r="AJ102" s="5" t="s">
        <v>81</v>
      </c>
      <c r="AK102" s="14">
        <v>1.6913</v>
      </c>
      <c r="AL102" s="14">
        <v>3</v>
      </c>
      <c r="AM102" s="14">
        <v>0.297</v>
      </c>
      <c r="AN102" s="14">
        <v>1.046</v>
      </c>
      <c r="AO102" s="14">
        <v>4</v>
      </c>
      <c r="AP102" s="14">
        <v>0.067</v>
      </c>
      <c r="BH102" s="9" t="s">
        <v>82</v>
      </c>
      <c r="BI102" s="9" t="s">
        <v>82</v>
      </c>
      <c r="BJ102" s="10" t="str">
        <f>IF(ABS(I102)&lt;23.5,"tropic",IF(ABS(I102)&lt;40,"subtropic",IF(ABS(I102)&lt;60,"temperate","arctic")))</f>
        <v>temperate</v>
      </c>
      <c r="BK102" s="11" t="s">
        <v>137</v>
      </c>
    </row>
    <row r="103" ht="28.5" spans="1:63">
      <c r="A103">
        <v>101</v>
      </c>
      <c r="B103" t="s">
        <v>552</v>
      </c>
      <c r="C103" t="s">
        <v>553</v>
      </c>
      <c r="D103" t="s">
        <v>554</v>
      </c>
      <c r="E103" t="s">
        <v>555</v>
      </c>
      <c r="F103">
        <v>2020</v>
      </c>
      <c r="G103" s="12" t="s">
        <v>556</v>
      </c>
      <c r="H103" t="s">
        <v>208</v>
      </c>
      <c r="I103">
        <v>-35.1</v>
      </c>
      <c r="J103">
        <v>-57.5</v>
      </c>
      <c r="K103">
        <v>14</v>
      </c>
      <c r="L103" t="s">
        <v>89</v>
      </c>
      <c r="M103" t="str">
        <f t="shared" si="6"/>
        <v>Group C</v>
      </c>
      <c r="N103" t="s">
        <v>70</v>
      </c>
      <c r="O103" t="s">
        <v>146</v>
      </c>
      <c r="P103" t="s">
        <v>147</v>
      </c>
      <c r="Q103" t="s">
        <v>72</v>
      </c>
      <c r="R103" t="s">
        <v>147</v>
      </c>
      <c r="S103" t="s">
        <v>148</v>
      </c>
      <c r="T103" t="s">
        <v>74</v>
      </c>
      <c r="U103" t="s">
        <v>75</v>
      </c>
      <c r="V103" s="1" t="s">
        <v>117</v>
      </c>
      <c r="X103" s="1" t="s">
        <v>117</v>
      </c>
      <c r="Y103" s="1" t="s">
        <v>117</v>
      </c>
      <c r="Z103" s="1" t="s">
        <v>118</v>
      </c>
      <c r="AA103" s="13">
        <v>32</v>
      </c>
      <c r="AB103" s="13" t="s">
        <v>79</v>
      </c>
      <c r="AC103" s="13" t="s">
        <v>80</v>
      </c>
      <c r="AD103" s="3">
        <v>13.776</v>
      </c>
      <c r="AE103" s="3">
        <v>4</v>
      </c>
      <c r="AF103" s="3">
        <v>1.713</v>
      </c>
      <c r="AG103" s="4">
        <v>2.043</v>
      </c>
      <c r="AH103" s="3">
        <v>2</v>
      </c>
      <c r="AI103" s="3">
        <v>1.318</v>
      </c>
      <c r="AJ103" s="5" t="s">
        <v>81</v>
      </c>
      <c r="AK103" s="14">
        <v>1.63</v>
      </c>
      <c r="AL103" s="14">
        <v>4</v>
      </c>
      <c r="AM103" s="14">
        <v>0.183</v>
      </c>
      <c r="AN103" s="14">
        <v>0.302</v>
      </c>
      <c r="AO103" s="14">
        <v>2</v>
      </c>
      <c r="AP103" s="14">
        <v>0.421</v>
      </c>
      <c r="BH103" s="9" t="s">
        <v>82</v>
      </c>
      <c r="BI103" s="9" t="s">
        <v>82</v>
      </c>
      <c r="BJ103" s="10" t="str">
        <f t="shared" ref="BJ103:BJ166" si="7">IF(ABS(I103)&lt;23.5,"tropic",IF(ABS(I103)&lt;40,"subtropic",IF(ABS(I103)&lt;60,"temperate","arctic")))</f>
        <v>subtropic</v>
      </c>
      <c r="BK103" s="11" t="s">
        <v>137</v>
      </c>
    </row>
    <row r="104" ht="42.75" spans="1:63">
      <c r="A104">
        <v>102</v>
      </c>
      <c r="B104" t="s">
        <v>557</v>
      </c>
      <c r="C104" t="s">
        <v>558</v>
      </c>
      <c r="D104" t="s">
        <v>559</v>
      </c>
      <c r="E104" t="s">
        <v>560</v>
      </c>
      <c r="F104">
        <v>2020</v>
      </c>
      <c r="G104" s="12" t="s">
        <v>561</v>
      </c>
      <c r="H104" t="s">
        <v>356</v>
      </c>
      <c r="I104">
        <v>-23.8416</v>
      </c>
      <c r="J104">
        <v>151.2498</v>
      </c>
      <c r="K104">
        <v>3</v>
      </c>
      <c r="L104" t="s">
        <v>388</v>
      </c>
      <c r="M104" t="str">
        <f t="shared" si="6"/>
        <v>Group A</v>
      </c>
      <c r="N104" t="s">
        <v>182</v>
      </c>
      <c r="O104" t="s">
        <v>358</v>
      </c>
      <c r="P104" t="s">
        <v>562</v>
      </c>
      <c r="Q104" t="s">
        <v>113</v>
      </c>
      <c r="R104" t="s">
        <v>114</v>
      </c>
      <c r="S104" t="s">
        <v>563</v>
      </c>
      <c r="T104" t="s">
        <v>116</v>
      </c>
      <c r="U104" t="s">
        <v>75</v>
      </c>
      <c r="V104" s="1" t="s">
        <v>564</v>
      </c>
      <c r="W104" s="1" t="s">
        <v>239</v>
      </c>
      <c r="X104" s="1" t="s">
        <v>172</v>
      </c>
      <c r="Y104" s="1" t="s">
        <v>281</v>
      </c>
      <c r="Z104" s="1" t="s">
        <v>538</v>
      </c>
      <c r="AA104" s="13">
        <v>93.8</v>
      </c>
      <c r="AB104" s="13" t="s">
        <v>119</v>
      </c>
      <c r="AC104" s="13" t="s">
        <v>80</v>
      </c>
      <c r="AD104" s="3">
        <v>6.667</v>
      </c>
      <c r="AE104" s="3">
        <v>3</v>
      </c>
      <c r="AF104" s="3">
        <v>0.577</v>
      </c>
      <c r="AG104" s="4">
        <v>5.125</v>
      </c>
      <c r="AH104" s="3">
        <v>8</v>
      </c>
      <c r="AI104" s="3">
        <v>1.727</v>
      </c>
      <c r="BH104" s="9" t="s">
        <v>82</v>
      </c>
      <c r="BI104" s="9" t="s">
        <v>82</v>
      </c>
      <c r="BJ104" s="10" t="str">
        <f t="shared" si="7"/>
        <v>subtropic</v>
      </c>
      <c r="BK104" s="11" t="s">
        <v>164</v>
      </c>
    </row>
    <row r="105" ht="42.75" spans="1:63">
      <c r="A105">
        <v>103</v>
      </c>
      <c r="B105" t="s">
        <v>557</v>
      </c>
      <c r="C105" t="s">
        <v>558</v>
      </c>
      <c r="D105" t="s">
        <v>559</v>
      </c>
      <c r="E105" t="s">
        <v>560</v>
      </c>
      <c r="F105">
        <v>2020</v>
      </c>
      <c r="G105" s="12" t="s">
        <v>561</v>
      </c>
      <c r="H105" t="s">
        <v>356</v>
      </c>
      <c r="I105">
        <v>-23.8416</v>
      </c>
      <c r="J105">
        <v>151.2498</v>
      </c>
      <c r="K105">
        <v>3</v>
      </c>
      <c r="L105" t="s">
        <v>388</v>
      </c>
      <c r="M105" t="str">
        <f t="shared" si="6"/>
        <v>Group A</v>
      </c>
      <c r="N105" t="s">
        <v>182</v>
      </c>
      <c r="O105" t="s">
        <v>358</v>
      </c>
      <c r="P105" t="s">
        <v>562</v>
      </c>
      <c r="Q105" t="s">
        <v>113</v>
      </c>
      <c r="R105" t="s">
        <v>114</v>
      </c>
      <c r="S105" t="s">
        <v>563</v>
      </c>
      <c r="T105" t="s">
        <v>116</v>
      </c>
      <c r="U105" t="s">
        <v>75</v>
      </c>
      <c r="V105" s="1" t="s">
        <v>117</v>
      </c>
      <c r="W105" s="1" t="s">
        <v>239</v>
      </c>
      <c r="X105" s="1" t="s">
        <v>117</v>
      </c>
      <c r="Y105" s="1" t="s">
        <v>281</v>
      </c>
      <c r="Z105" s="1" t="s">
        <v>538</v>
      </c>
      <c r="AA105" s="13">
        <v>93.8</v>
      </c>
      <c r="AB105" s="13" t="s">
        <v>119</v>
      </c>
      <c r="AC105" s="13" t="s">
        <v>80</v>
      </c>
      <c r="AD105" s="3">
        <v>24.333</v>
      </c>
      <c r="AE105" s="3">
        <v>3</v>
      </c>
      <c r="AF105" s="3">
        <v>6.658</v>
      </c>
      <c r="AG105" s="4">
        <v>21.75</v>
      </c>
      <c r="AH105" s="3">
        <v>8</v>
      </c>
      <c r="AI105" s="3">
        <v>7.005</v>
      </c>
      <c r="BH105" s="9" t="s">
        <v>82</v>
      </c>
      <c r="BI105" s="9" t="s">
        <v>82</v>
      </c>
      <c r="BJ105" s="10" t="str">
        <f t="shared" si="7"/>
        <v>subtropic</v>
      </c>
      <c r="BK105" s="11" t="s">
        <v>164</v>
      </c>
    </row>
    <row r="106" ht="42.75" spans="1:63">
      <c r="A106">
        <v>104</v>
      </c>
      <c r="B106" t="s">
        <v>565</v>
      </c>
      <c r="C106" t="s">
        <v>566</v>
      </c>
      <c r="D106" t="s">
        <v>567</v>
      </c>
      <c r="E106" t="s">
        <v>568</v>
      </c>
      <c r="F106">
        <v>2020</v>
      </c>
      <c r="G106" s="12" t="s">
        <v>569</v>
      </c>
      <c r="H106" t="s">
        <v>145</v>
      </c>
      <c r="I106">
        <v>-33.5</v>
      </c>
      <c r="J106">
        <v>-52.5</v>
      </c>
      <c r="K106">
        <v>14</v>
      </c>
      <c r="L106" t="s">
        <v>89</v>
      </c>
      <c r="M106" t="str">
        <f t="shared" si="6"/>
        <v>Group C</v>
      </c>
      <c r="N106" t="s">
        <v>70</v>
      </c>
      <c r="O106" t="s">
        <v>146</v>
      </c>
      <c r="P106" t="s">
        <v>570</v>
      </c>
      <c r="Q106" t="s">
        <v>113</v>
      </c>
      <c r="R106" t="s">
        <v>114</v>
      </c>
      <c r="S106" t="s">
        <v>115</v>
      </c>
      <c r="T106" t="s">
        <v>116</v>
      </c>
      <c r="U106" t="s">
        <v>75</v>
      </c>
      <c r="V106" s="1" t="s">
        <v>571</v>
      </c>
      <c r="X106" s="1" t="s">
        <v>172</v>
      </c>
      <c r="Y106" s="1" t="s">
        <v>286</v>
      </c>
      <c r="Z106" s="1" t="s">
        <v>287</v>
      </c>
      <c r="AA106" s="13">
        <v>197.5</v>
      </c>
      <c r="AB106" s="13" t="s">
        <v>174</v>
      </c>
      <c r="AC106" s="13" t="s">
        <v>94</v>
      </c>
      <c r="AD106" s="3">
        <v>14.4</v>
      </c>
      <c r="AE106" s="3">
        <v>10</v>
      </c>
      <c r="AF106" s="3">
        <v>5.31</v>
      </c>
      <c r="AG106" s="4">
        <v>22</v>
      </c>
      <c r="AH106" s="3">
        <v>10</v>
      </c>
      <c r="AI106" s="3">
        <v>7.65</v>
      </c>
      <c r="AJ106" s="5" t="s">
        <v>81</v>
      </c>
      <c r="AK106" s="14">
        <v>2.156</v>
      </c>
      <c r="AL106" s="14">
        <v>10</v>
      </c>
      <c r="AM106" s="14">
        <v>0.403</v>
      </c>
      <c r="AN106" s="14">
        <v>2.015</v>
      </c>
      <c r="AO106" s="14">
        <v>10</v>
      </c>
      <c r="AP106" s="14">
        <v>0.592</v>
      </c>
      <c r="BH106" s="9" t="s">
        <v>82</v>
      </c>
      <c r="BI106" s="9" t="s">
        <v>82</v>
      </c>
      <c r="BJ106" s="10" t="str">
        <f t="shared" si="7"/>
        <v>subtropic</v>
      </c>
      <c r="BK106" s="11" t="s">
        <v>164</v>
      </c>
    </row>
    <row r="107" ht="42.75" spans="1:63">
      <c r="A107">
        <v>105</v>
      </c>
      <c r="B107" t="s">
        <v>572</v>
      </c>
      <c r="C107" t="s">
        <v>573</v>
      </c>
      <c r="D107" t="s">
        <v>574</v>
      </c>
      <c r="E107" t="s">
        <v>575</v>
      </c>
      <c r="F107">
        <v>2020</v>
      </c>
      <c r="G107" s="12" t="s">
        <v>576</v>
      </c>
      <c r="H107" t="s">
        <v>443</v>
      </c>
      <c r="I107">
        <v>6.4342</v>
      </c>
      <c r="J107">
        <v>5.9304</v>
      </c>
      <c r="K107">
        <v>3</v>
      </c>
      <c r="L107" t="s">
        <v>388</v>
      </c>
      <c r="M107" t="str">
        <f t="shared" si="6"/>
        <v>Group A</v>
      </c>
      <c r="N107" t="s">
        <v>444</v>
      </c>
      <c r="O107" t="s">
        <v>445</v>
      </c>
      <c r="P107" t="s">
        <v>72</v>
      </c>
      <c r="Q107" t="s">
        <v>72</v>
      </c>
      <c r="R107" t="s">
        <v>72</v>
      </c>
      <c r="S107" t="s">
        <v>73</v>
      </c>
      <c r="T107" t="s">
        <v>74</v>
      </c>
      <c r="U107" t="s">
        <v>75</v>
      </c>
      <c r="V107" s="1" t="s">
        <v>172</v>
      </c>
      <c r="X107" s="1" t="s">
        <v>172</v>
      </c>
      <c r="Y107" s="1" t="s">
        <v>172</v>
      </c>
      <c r="Z107" s="1" t="s">
        <v>173</v>
      </c>
      <c r="AA107" s="13">
        <v>188</v>
      </c>
      <c r="AB107" s="13" t="s">
        <v>174</v>
      </c>
      <c r="AC107" s="13" t="s">
        <v>94</v>
      </c>
      <c r="AD107" s="3">
        <v>21.818</v>
      </c>
      <c r="AE107" s="3">
        <v>11</v>
      </c>
      <c r="AF107" s="3">
        <v>5.23</v>
      </c>
      <c r="AG107" s="4">
        <v>20.111</v>
      </c>
      <c r="AH107" s="3">
        <v>9</v>
      </c>
      <c r="AI107" s="3">
        <v>5.56</v>
      </c>
      <c r="AJ107" s="5" t="s">
        <v>81</v>
      </c>
      <c r="AK107" s="14">
        <v>2.511</v>
      </c>
      <c r="AL107" s="14">
        <v>11</v>
      </c>
      <c r="AM107" s="14">
        <v>0.403</v>
      </c>
      <c r="AN107" s="14">
        <v>2.393</v>
      </c>
      <c r="AO107" s="14">
        <v>9</v>
      </c>
      <c r="AP107" s="14">
        <v>0.434</v>
      </c>
      <c r="BH107" s="9" t="s">
        <v>577</v>
      </c>
      <c r="BI107" s="9" t="s">
        <v>126</v>
      </c>
      <c r="BJ107" s="10" t="str">
        <f t="shared" si="7"/>
        <v>tropic</v>
      </c>
      <c r="BK107" s="11" t="s">
        <v>137</v>
      </c>
    </row>
    <row r="108" ht="57" spans="1:63">
      <c r="A108">
        <v>106</v>
      </c>
      <c r="B108" t="s">
        <v>578</v>
      </c>
      <c r="C108" t="s">
        <v>579</v>
      </c>
      <c r="D108" t="s">
        <v>580</v>
      </c>
      <c r="E108" t="s">
        <v>581</v>
      </c>
      <c r="F108">
        <v>2020</v>
      </c>
      <c r="G108" s="12" t="s">
        <v>582</v>
      </c>
      <c r="H108" t="s">
        <v>68</v>
      </c>
      <c r="I108">
        <v>29</v>
      </c>
      <c r="J108">
        <v>119</v>
      </c>
      <c r="K108">
        <v>14</v>
      </c>
      <c r="L108" t="s">
        <v>89</v>
      </c>
      <c r="M108" t="str">
        <f t="shared" si="6"/>
        <v>Group C</v>
      </c>
      <c r="N108" t="s">
        <v>70</v>
      </c>
      <c r="O108" t="s">
        <v>71</v>
      </c>
      <c r="P108" t="s">
        <v>72</v>
      </c>
      <c r="Q108" t="s">
        <v>72</v>
      </c>
      <c r="R108" t="s">
        <v>72</v>
      </c>
      <c r="S108" t="s">
        <v>73</v>
      </c>
      <c r="T108" t="s">
        <v>74</v>
      </c>
      <c r="U108" t="s">
        <v>90</v>
      </c>
      <c r="V108" s="1" t="s">
        <v>238</v>
      </c>
      <c r="X108" s="1" t="s">
        <v>240</v>
      </c>
      <c r="Y108" s="1" t="s">
        <v>241</v>
      </c>
      <c r="Z108" s="1" t="s">
        <v>241</v>
      </c>
      <c r="AA108" s="13">
        <v>229</v>
      </c>
      <c r="AB108" s="13" t="s">
        <v>93</v>
      </c>
      <c r="AC108" s="13" t="s">
        <v>94</v>
      </c>
      <c r="AG108" s="3"/>
      <c r="AJ108" s="5" t="s">
        <v>81</v>
      </c>
      <c r="AK108" s="14">
        <v>3.905</v>
      </c>
      <c r="AL108" s="14">
        <v>30</v>
      </c>
      <c r="AM108" s="14">
        <v>0.295</v>
      </c>
      <c r="AN108" s="14">
        <v>3.124</v>
      </c>
      <c r="AO108" s="14">
        <v>18</v>
      </c>
      <c r="AP108" s="14">
        <v>0.376</v>
      </c>
      <c r="BH108" s="9" t="s">
        <v>82</v>
      </c>
      <c r="BI108" s="9" t="s">
        <v>82</v>
      </c>
      <c r="BJ108" s="10" t="str">
        <f t="shared" si="7"/>
        <v>subtropic</v>
      </c>
      <c r="BK108" s="11" t="s">
        <v>137</v>
      </c>
    </row>
    <row r="109" ht="28.5" spans="1:63">
      <c r="A109">
        <v>107</v>
      </c>
      <c r="B109" t="s">
        <v>583</v>
      </c>
      <c r="C109" t="s">
        <v>584</v>
      </c>
      <c r="D109" t="s">
        <v>585</v>
      </c>
      <c r="E109" t="s">
        <v>586</v>
      </c>
      <c r="F109">
        <v>2020</v>
      </c>
      <c r="G109" s="12" t="s">
        <v>587</v>
      </c>
      <c r="H109" t="s">
        <v>276</v>
      </c>
      <c r="I109">
        <v>40.4173</v>
      </c>
      <c r="J109">
        <v>-82.9071</v>
      </c>
      <c r="K109">
        <v>25</v>
      </c>
      <c r="L109" t="s">
        <v>216</v>
      </c>
      <c r="M109" t="str">
        <f t="shared" si="6"/>
        <v>Group D</v>
      </c>
      <c r="N109" t="s">
        <v>182</v>
      </c>
      <c r="O109" t="s">
        <v>183</v>
      </c>
      <c r="P109" t="s">
        <v>588</v>
      </c>
      <c r="Q109" t="s">
        <v>267</v>
      </c>
      <c r="R109" t="s">
        <v>340</v>
      </c>
      <c r="S109" t="s">
        <v>495</v>
      </c>
      <c r="T109" t="s">
        <v>74</v>
      </c>
      <c r="U109" t="s">
        <v>191</v>
      </c>
      <c r="V109" s="1" t="s">
        <v>191</v>
      </c>
      <c r="X109" s="1" t="s">
        <v>191</v>
      </c>
      <c r="Y109" s="1" t="s">
        <v>191</v>
      </c>
      <c r="Z109" s="1" t="s">
        <v>191</v>
      </c>
      <c r="AA109" s="13">
        <v>412</v>
      </c>
      <c r="AB109" s="13" t="s">
        <v>93</v>
      </c>
      <c r="AC109" s="13" t="s">
        <v>94</v>
      </c>
      <c r="AD109" s="4">
        <v>11.68</v>
      </c>
      <c r="AE109" s="3">
        <v>15</v>
      </c>
      <c r="AF109" s="3">
        <v>5.108</v>
      </c>
      <c r="AG109" s="3">
        <v>9.02</v>
      </c>
      <c r="AH109" s="3">
        <v>15</v>
      </c>
      <c r="AI109" s="3">
        <v>3.088</v>
      </c>
      <c r="AJ109" s="5" t="s">
        <v>81</v>
      </c>
      <c r="AK109" s="14">
        <v>1.693</v>
      </c>
      <c r="AL109" s="14">
        <v>15</v>
      </c>
      <c r="AM109" s="14">
        <v>0.621</v>
      </c>
      <c r="AN109" s="14">
        <v>1.407</v>
      </c>
      <c r="AO109" s="14">
        <v>15</v>
      </c>
      <c r="AP109" s="14">
        <v>0.452</v>
      </c>
      <c r="BH109" s="9" t="s">
        <v>82</v>
      </c>
      <c r="BI109" s="9" t="s">
        <v>82</v>
      </c>
      <c r="BJ109" s="10" t="str">
        <f t="shared" si="7"/>
        <v>temperate</v>
      </c>
      <c r="BK109" s="11" t="s">
        <v>137</v>
      </c>
    </row>
    <row r="110" ht="28.5" spans="1:63">
      <c r="A110">
        <v>108</v>
      </c>
      <c r="B110" t="s">
        <v>589</v>
      </c>
      <c r="C110" t="s">
        <v>590</v>
      </c>
      <c r="D110" t="s">
        <v>591</v>
      </c>
      <c r="E110" t="s">
        <v>592</v>
      </c>
      <c r="F110">
        <v>2019</v>
      </c>
      <c r="G110" s="12" t="s">
        <v>593</v>
      </c>
      <c r="H110" t="s">
        <v>68</v>
      </c>
      <c r="I110">
        <v>24.8833</v>
      </c>
      <c r="J110">
        <v>102.7</v>
      </c>
      <c r="K110">
        <v>12</v>
      </c>
      <c r="L110" t="s">
        <v>247</v>
      </c>
      <c r="M110" t="str">
        <f t="shared" si="6"/>
        <v>Group C</v>
      </c>
      <c r="N110" t="s">
        <v>70</v>
      </c>
      <c r="O110" t="s">
        <v>71</v>
      </c>
      <c r="P110" t="s">
        <v>217</v>
      </c>
      <c r="Q110" t="s">
        <v>217</v>
      </c>
      <c r="R110" t="s">
        <v>340</v>
      </c>
      <c r="S110" t="s">
        <v>495</v>
      </c>
      <c r="T110" t="s">
        <v>74</v>
      </c>
      <c r="U110" t="s">
        <v>75</v>
      </c>
      <c r="V110" s="1" t="s">
        <v>76</v>
      </c>
      <c r="X110" s="1" t="s">
        <v>76</v>
      </c>
      <c r="Y110" s="1" t="s">
        <v>76</v>
      </c>
      <c r="Z110" s="1" t="s">
        <v>78</v>
      </c>
      <c r="AA110" s="13">
        <v>44</v>
      </c>
      <c r="AB110" s="13" t="s">
        <v>79</v>
      </c>
      <c r="AC110" s="13" t="s">
        <v>80</v>
      </c>
      <c r="AD110" s="3">
        <v>33.101</v>
      </c>
      <c r="AE110" s="3">
        <v>14</v>
      </c>
      <c r="AF110" s="3">
        <v>9.24</v>
      </c>
      <c r="AG110" s="4">
        <v>20.398</v>
      </c>
      <c r="AH110" s="3">
        <v>6</v>
      </c>
      <c r="AI110" s="3">
        <v>8.761</v>
      </c>
      <c r="AJ110" s="5" t="s">
        <v>81</v>
      </c>
      <c r="AK110" s="14">
        <v>2.038</v>
      </c>
      <c r="AL110" s="14">
        <v>14</v>
      </c>
      <c r="AM110" s="14">
        <v>0.676</v>
      </c>
      <c r="AN110" s="14">
        <v>0.797</v>
      </c>
      <c r="AO110" s="14">
        <v>6</v>
      </c>
      <c r="AP110" s="14">
        <v>0.549</v>
      </c>
      <c r="AQ110" s="7">
        <v>19</v>
      </c>
      <c r="AR110" s="15" t="s">
        <v>594</v>
      </c>
      <c r="AS110" s="15" t="s">
        <v>305</v>
      </c>
      <c r="AT110" s="7" t="s">
        <v>122</v>
      </c>
      <c r="AU110" s="7">
        <v>0.093563</v>
      </c>
      <c r="AV110" s="7">
        <v>15</v>
      </c>
      <c r="AW110" s="7">
        <v>0.08779</v>
      </c>
      <c r="AX110" s="7">
        <v>0.377683</v>
      </c>
      <c r="AY110" s="7">
        <v>105</v>
      </c>
      <c r="AZ110" s="7">
        <v>0.189087</v>
      </c>
      <c r="BA110" s="7">
        <v>0.372065</v>
      </c>
      <c r="BB110" s="7">
        <v>90</v>
      </c>
      <c r="BC110" s="7">
        <v>0.228534</v>
      </c>
      <c r="BD110" s="29" t="s">
        <v>98</v>
      </c>
      <c r="BG110" s="7" t="s">
        <v>595</v>
      </c>
      <c r="BH110" s="9" t="s">
        <v>82</v>
      </c>
      <c r="BI110" s="9" t="s">
        <v>82</v>
      </c>
      <c r="BJ110" s="10" t="str">
        <f t="shared" si="7"/>
        <v>subtropic</v>
      </c>
      <c r="BK110" s="11" t="s">
        <v>137</v>
      </c>
    </row>
    <row r="111" ht="42.75" spans="1:63">
      <c r="A111">
        <v>109</v>
      </c>
      <c r="B111" t="s">
        <v>596</v>
      </c>
      <c r="C111" t="s">
        <v>597</v>
      </c>
      <c r="D111" t="s">
        <v>598</v>
      </c>
      <c r="E111" t="s">
        <v>599</v>
      </c>
      <c r="F111">
        <v>2019</v>
      </c>
      <c r="G111" s="12" t="s">
        <v>600</v>
      </c>
      <c r="H111" t="s">
        <v>208</v>
      </c>
      <c r="I111">
        <v>-33.2</v>
      </c>
      <c r="J111">
        <v>-66.1</v>
      </c>
      <c r="K111">
        <v>7</v>
      </c>
      <c r="L111" t="s">
        <v>494</v>
      </c>
      <c r="M111" t="str">
        <f t="shared" si="6"/>
        <v>Group B</v>
      </c>
      <c r="N111" t="s">
        <v>70</v>
      </c>
      <c r="O111" t="s">
        <v>146</v>
      </c>
      <c r="P111" t="s">
        <v>72</v>
      </c>
      <c r="Q111" t="s">
        <v>72</v>
      </c>
      <c r="R111" t="s">
        <v>72</v>
      </c>
      <c r="S111" t="s">
        <v>73</v>
      </c>
      <c r="T111" t="s">
        <v>74</v>
      </c>
      <c r="U111" t="s">
        <v>75</v>
      </c>
      <c r="V111" s="1" t="s">
        <v>284</v>
      </c>
      <c r="W111" s="1" t="s">
        <v>239</v>
      </c>
      <c r="X111" s="1" t="s">
        <v>284</v>
      </c>
      <c r="Y111" s="1" t="s">
        <v>281</v>
      </c>
      <c r="Z111" s="1" t="s">
        <v>390</v>
      </c>
      <c r="AA111" s="13">
        <v>17</v>
      </c>
      <c r="AB111" s="13" t="s">
        <v>79</v>
      </c>
      <c r="AC111" s="13" t="s">
        <v>80</v>
      </c>
      <c r="AD111" s="3">
        <v>3.25</v>
      </c>
      <c r="AE111" s="3">
        <v>4</v>
      </c>
      <c r="AF111" s="3">
        <v>0.957</v>
      </c>
      <c r="AG111" s="4">
        <v>3</v>
      </c>
      <c r="AH111" s="3">
        <v>4</v>
      </c>
      <c r="AI111" s="3">
        <v>0.816</v>
      </c>
      <c r="BH111" s="9" t="s">
        <v>82</v>
      </c>
      <c r="BI111" s="9" t="s">
        <v>82</v>
      </c>
      <c r="BJ111" s="10" t="str">
        <f t="shared" si="7"/>
        <v>subtropic</v>
      </c>
      <c r="BK111" s="11" t="s">
        <v>137</v>
      </c>
    </row>
    <row r="112" ht="28.5" spans="1:63">
      <c r="A112">
        <v>110</v>
      </c>
      <c r="B112" t="s">
        <v>601</v>
      </c>
      <c r="C112" t="s">
        <v>602</v>
      </c>
      <c r="D112" t="s">
        <v>603</v>
      </c>
      <c r="E112" t="s">
        <v>604</v>
      </c>
      <c r="F112">
        <v>2019</v>
      </c>
      <c r="G112" s="12" t="s">
        <v>605</v>
      </c>
      <c r="H112" t="s">
        <v>255</v>
      </c>
      <c r="I112">
        <v>18.2</v>
      </c>
      <c r="J112">
        <v>-92.75</v>
      </c>
      <c r="K112">
        <v>2</v>
      </c>
      <c r="L112" t="s">
        <v>256</v>
      </c>
      <c r="M112" t="str">
        <f t="shared" si="6"/>
        <v>Group A</v>
      </c>
      <c r="N112" t="s">
        <v>70</v>
      </c>
      <c r="O112" t="s">
        <v>146</v>
      </c>
      <c r="P112" t="s">
        <v>257</v>
      </c>
      <c r="Q112" t="s">
        <v>113</v>
      </c>
      <c r="R112" t="s">
        <v>257</v>
      </c>
      <c r="S112" t="s">
        <v>258</v>
      </c>
      <c r="T112" t="s">
        <v>74</v>
      </c>
      <c r="U112" t="s">
        <v>75</v>
      </c>
      <c r="V112" s="1" t="s">
        <v>117</v>
      </c>
      <c r="W112" s="1" t="s">
        <v>239</v>
      </c>
      <c r="X112" s="1" t="s">
        <v>117</v>
      </c>
      <c r="Y112" s="1" t="s">
        <v>117</v>
      </c>
      <c r="Z112" s="1" t="s">
        <v>118</v>
      </c>
      <c r="AA112" s="13">
        <v>30.6</v>
      </c>
      <c r="AB112" s="13" t="s">
        <v>79</v>
      </c>
      <c r="AC112" s="13" t="s">
        <v>80</v>
      </c>
      <c r="AD112" s="3">
        <v>24</v>
      </c>
      <c r="AE112" s="3">
        <v>5</v>
      </c>
      <c r="AF112" s="3">
        <v>3.35</v>
      </c>
      <c r="AG112" s="4">
        <v>18.8</v>
      </c>
      <c r="AH112" s="3">
        <v>5</v>
      </c>
      <c r="AI112" s="3">
        <v>3.19</v>
      </c>
      <c r="BH112" s="9" t="s">
        <v>259</v>
      </c>
      <c r="BI112" s="9" t="s">
        <v>126</v>
      </c>
      <c r="BJ112" s="10" t="str">
        <f t="shared" si="7"/>
        <v>tropic</v>
      </c>
      <c r="BK112" s="11" t="s">
        <v>137</v>
      </c>
    </row>
    <row r="113" ht="28.5" spans="1:63">
      <c r="A113">
        <v>111</v>
      </c>
      <c r="B113" t="s">
        <v>606</v>
      </c>
      <c r="C113" t="s">
        <v>607</v>
      </c>
      <c r="D113" t="s">
        <v>608</v>
      </c>
      <c r="E113" t="s">
        <v>609</v>
      </c>
      <c r="F113">
        <v>2019</v>
      </c>
      <c r="G113" s="12" t="s">
        <v>610</v>
      </c>
      <c r="H113" t="s">
        <v>611</v>
      </c>
      <c r="I113">
        <v>3.16</v>
      </c>
      <c r="J113">
        <v>101.66</v>
      </c>
      <c r="K113">
        <v>1</v>
      </c>
      <c r="L113" t="s">
        <v>512</v>
      </c>
      <c r="M113" t="str">
        <f t="shared" si="6"/>
        <v>Group A</v>
      </c>
      <c r="N113" t="s">
        <v>70</v>
      </c>
      <c r="O113" t="s">
        <v>71</v>
      </c>
      <c r="P113" t="s">
        <v>612</v>
      </c>
      <c r="Q113" t="s">
        <v>278</v>
      </c>
      <c r="R113" t="s">
        <v>340</v>
      </c>
      <c r="S113" t="s">
        <v>495</v>
      </c>
      <c r="T113" t="s">
        <v>74</v>
      </c>
      <c r="U113" t="s">
        <v>75</v>
      </c>
      <c r="V113" s="1" t="s">
        <v>344</v>
      </c>
      <c r="X113" s="1" t="s">
        <v>344</v>
      </c>
      <c r="Y113" s="1" t="s">
        <v>344</v>
      </c>
      <c r="Z113" s="1" t="s">
        <v>344</v>
      </c>
      <c r="AA113" s="13">
        <v>16.3</v>
      </c>
      <c r="AB113" s="13" t="s">
        <v>79</v>
      </c>
      <c r="AC113" s="13" t="s">
        <v>80</v>
      </c>
      <c r="AD113" s="3">
        <v>24.333</v>
      </c>
      <c r="AE113" s="3">
        <v>3</v>
      </c>
      <c r="AF113" s="3">
        <v>6.128</v>
      </c>
      <c r="AG113" s="4">
        <v>20.2</v>
      </c>
      <c r="AH113" s="3">
        <v>5</v>
      </c>
      <c r="AI113" s="3">
        <v>2.926</v>
      </c>
      <c r="AJ113" s="5" t="s">
        <v>81</v>
      </c>
      <c r="AK113" s="14">
        <v>1.97</v>
      </c>
      <c r="AL113" s="14">
        <v>3</v>
      </c>
      <c r="AM113" s="14">
        <v>0.085</v>
      </c>
      <c r="AN113" s="14">
        <v>1.764</v>
      </c>
      <c r="AO113" s="14">
        <v>5</v>
      </c>
      <c r="AP113" s="14">
        <v>0.249</v>
      </c>
      <c r="BH113" s="9" t="s">
        <v>297</v>
      </c>
      <c r="BI113" s="9" t="s">
        <v>126</v>
      </c>
      <c r="BJ113" s="10" t="str">
        <f t="shared" si="7"/>
        <v>tropic</v>
      </c>
      <c r="BK113" s="11" t="s">
        <v>83</v>
      </c>
    </row>
    <row r="114" ht="28.5" spans="1:63">
      <c r="A114">
        <v>112</v>
      </c>
      <c r="B114" t="s">
        <v>606</v>
      </c>
      <c r="C114" t="s">
        <v>607</v>
      </c>
      <c r="D114" t="s">
        <v>608</v>
      </c>
      <c r="E114" t="s">
        <v>609</v>
      </c>
      <c r="F114">
        <v>2019</v>
      </c>
      <c r="G114" s="12" t="s">
        <v>610</v>
      </c>
      <c r="H114" t="s">
        <v>611</v>
      </c>
      <c r="I114">
        <v>3.16</v>
      </c>
      <c r="J114">
        <v>101.66</v>
      </c>
      <c r="K114">
        <v>1</v>
      </c>
      <c r="L114" t="s">
        <v>512</v>
      </c>
      <c r="M114" t="str">
        <f t="shared" si="6"/>
        <v>Group A</v>
      </c>
      <c r="N114" t="s">
        <v>70</v>
      </c>
      <c r="O114" t="s">
        <v>71</v>
      </c>
      <c r="P114" t="s">
        <v>612</v>
      </c>
      <c r="Q114" t="s">
        <v>278</v>
      </c>
      <c r="R114" t="s">
        <v>340</v>
      </c>
      <c r="S114" t="s">
        <v>495</v>
      </c>
      <c r="T114" t="s">
        <v>74</v>
      </c>
      <c r="U114" t="s">
        <v>75</v>
      </c>
      <c r="V114" s="1" t="s">
        <v>344</v>
      </c>
      <c r="X114" s="1" t="s">
        <v>344</v>
      </c>
      <c r="Y114" s="1" t="s">
        <v>344</v>
      </c>
      <c r="Z114" s="1" t="s">
        <v>344</v>
      </c>
      <c r="AA114" s="13">
        <v>16.3</v>
      </c>
      <c r="AB114" s="13" t="s">
        <v>79</v>
      </c>
      <c r="AC114" s="13" t="s">
        <v>80</v>
      </c>
      <c r="AD114" s="3">
        <v>18</v>
      </c>
      <c r="AE114" s="3">
        <v>3</v>
      </c>
      <c r="AF114" s="3">
        <v>6.083</v>
      </c>
      <c r="AG114" s="4">
        <v>15.8</v>
      </c>
      <c r="AH114" s="3">
        <v>5</v>
      </c>
      <c r="AI114" s="3">
        <v>3.493</v>
      </c>
      <c r="AJ114" s="5" t="s">
        <v>81</v>
      </c>
      <c r="AK114" s="14">
        <v>1.673</v>
      </c>
      <c r="AL114" s="14">
        <v>3</v>
      </c>
      <c r="AM114" s="14">
        <v>0.4</v>
      </c>
      <c r="AN114" s="14">
        <v>1.462</v>
      </c>
      <c r="AO114" s="14">
        <v>5</v>
      </c>
      <c r="AP114" s="14">
        <v>0.318</v>
      </c>
      <c r="BH114" s="9" t="s">
        <v>297</v>
      </c>
      <c r="BI114" s="9" t="s">
        <v>126</v>
      </c>
      <c r="BJ114" s="10" t="str">
        <f t="shared" si="7"/>
        <v>tropic</v>
      </c>
      <c r="BK114" s="11" t="s">
        <v>83</v>
      </c>
    </row>
    <row r="115" ht="42.75" spans="1:63">
      <c r="A115">
        <v>113</v>
      </c>
      <c r="B115" t="s">
        <v>613</v>
      </c>
      <c r="C115" t="s">
        <v>614</v>
      </c>
      <c r="D115" t="s">
        <v>615</v>
      </c>
      <c r="E115" t="s">
        <v>616</v>
      </c>
      <c r="F115">
        <v>2019</v>
      </c>
      <c r="G115" s="12" t="s">
        <v>617</v>
      </c>
      <c r="H115" t="s">
        <v>145</v>
      </c>
      <c r="I115">
        <v>-23.8333</v>
      </c>
      <c r="J115">
        <v>-46.1667</v>
      </c>
      <c r="K115">
        <v>1</v>
      </c>
      <c r="L115" t="s">
        <v>512</v>
      </c>
      <c r="M115" t="str">
        <f t="shared" si="6"/>
        <v>Group A</v>
      </c>
      <c r="N115" t="s">
        <v>70</v>
      </c>
      <c r="O115" t="s">
        <v>146</v>
      </c>
      <c r="P115" t="s">
        <v>513</v>
      </c>
      <c r="Q115" t="s">
        <v>113</v>
      </c>
      <c r="R115" t="s">
        <v>114</v>
      </c>
      <c r="S115" t="s">
        <v>514</v>
      </c>
      <c r="T115" t="s">
        <v>116</v>
      </c>
      <c r="U115" t="s">
        <v>75</v>
      </c>
      <c r="V115" s="1" t="s">
        <v>618</v>
      </c>
      <c r="W115" s="1" t="s">
        <v>239</v>
      </c>
      <c r="X115" s="1" t="s">
        <v>172</v>
      </c>
      <c r="Y115" s="1" t="s">
        <v>172</v>
      </c>
      <c r="Z115" s="1" t="s">
        <v>173</v>
      </c>
      <c r="AA115" s="13">
        <v>59.2</v>
      </c>
      <c r="AB115" s="13" t="s">
        <v>119</v>
      </c>
      <c r="AC115" s="13" t="s">
        <v>80</v>
      </c>
      <c r="AD115" s="3">
        <v>9.5</v>
      </c>
      <c r="AE115" s="3">
        <v>2</v>
      </c>
      <c r="AF115" s="3">
        <v>1.5</v>
      </c>
      <c r="AG115" s="4">
        <v>9</v>
      </c>
      <c r="AH115" s="3">
        <v>2</v>
      </c>
      <c r="AI115" s="3">
        <v>2</v>
      </c>
      <c r="AJ115" s="5" t="s">
        <v>81</v>
      </c>
      <c r="AK115" s="14">
        <v>0.894</v>
      </c>
      <c r="AL115" s="14">
        <v>2</v>
      </c>
      <c r="AM115" s="14">
        <v>0.15</v>
      </c>
      <c r="AN115" s="14">
        <v>0.975</v>
      </c>
      <c r="AO115" s="14">
        <v>2</v>
      </c>
      <c r="AP115" s="14">
        <v>0.171</v>
      </c>
      <c r="BH115" s="9" t="s">
        <v>153</v>
      </c>
      <c r="BI115" s="9" t="s">
        <v>126</v>
      </c>
      <c r="BJ115" s="10" t="str">
        <f t="shared" si="7"/>
        <v>subtropic</v>
      </c>
      <c r="BK115" s="11" t="s">
        <v>164</v>
      </c>
    </row>
    <row r="116" ht="28.5" spans="1:63">
      <c r="A116">
        <v>114</v>
      </c>
      <c r="B116" t="s">
        <v>619</v>
      </c>
      <c r="C116" t="s">
        <v>620</v>
      </c>
      <c r="D116" t="s">
        <v>621</v>
      </c>
      <c r="E116" t="s">
        <v>622</v>
      </c>
      <c r="F116">
        <v>2019</v>
      </c>
      <c r="G116" s="12" t="s">
        <v>623</v>
      </c>
      <c r="H116" t="s">
        <v>276</v>
      </c>
      <c r="I116">
        <v>39.273</v>
      </c>
      <c r="J116">
        <v>-76.5954</v>
      </c>
      <c r="K116">
        <v>14</v>
      </c>
      <c r="L116" t="s">
        <v>89</v>
      </c>
      <c r="M116" t="str">
        <f t="shared" si="6"/>
        <v>Group C</v>
      </c>
      <c r="N116" t="s">
        <v>182</v>
      </c>
      <c r="O116" t="s">
        <v>183</v>
      </c>
      <c r="P116" t="s">
        <v>147</v>
      </c>
      <c r="Q116" t="s">
        <v>72</v>
      </c>
      <c r="R116" t="s">
        <v>147</v>
      </c>
      <c r="S116" t="s">
        <v>148</v>
      </c>
      <c r="T116" t="s">
        <v>74</v>
      </c>
      <c r="U116" t="s">
        <v>75</v>
      </c>
      <c r="V116" s="1" t="s">
        <v>423</v>
      </c>
      <c r="X116" s="1" t="s">
        <v>172</v>
      </c>
      <c r="Y116" s="1" t="s">
        <v>324</v>
      </c>
      <c r="Z116" s="1" t="s">
        <v>325</v>
      </c>
      <c r="AA116" s="13">
        <v>5.5</v>
      </c>
      <c r="AB116" s="13" t="s">
        <v>192</v>
      </c>
      <c r="AC116" s="13" t="s">
        <v>80</v>
      </c>
      <c r="AD116" s="3">
        <v>13.274</v>
      </c>
      <c r="AE116" s="3">
        <v>4</v>
      </c>
      <c r="AF116" s="3">
        <v>2.248</v>
      </c>
      <c r="AG116" s="4">
        <v>4.248</v>
      </c>
      <c r="AH116" s="3">
        <v>4</v>
      </c>
      <c r="AI116" s="3">
        <v>1.287</v>
      </c>
      <c r="AJ116" s="5" t="s">
        <v>81</v>
      </c>
      <c r="AK116" s="14">
        <v>2.082</v>
      </c>
      <c r="AL116" s="14">
        <v>4</v>
      </c>
      <c r="AM116" s="14">
        <v>0.256</v>
      </c>
      <c r="AN116" s="14">
        <v>0.913</v>
      </c>
      <c r="AO116" s="14">
        <v>4</v>
      </c>
      <c r="AP116" s="14">
        <v>0.382</v>
      </c>
      <c r="AQ116" s="7">
        <v>20</v>
      </c>
      <c r="AR116" s="15" t="s">
        <v>624</v>
      </c>
      <c r="AS116" s="15" t="s">
        <v>625</v>
      </c>
      <c r="AT116" s="7" t="s">
        <v>122</v>
      </c>
      <c r="AU116" s="7">
        <v>2.106286</v>
      </c>
      <c r="AV116" s="7">
        <v>3</v>
      </c>
      <c r="AW116" s="7">
        <v>1.097207</v>
      </c>
      <c r="AX116" s="7">
        <v>0.536844</v>
      </c>
      <c r="AY116" s="7">
        <v>6</v>
      </c>
      <c r="AZ116" s="7">
        <v>0.305684</v>
      </c>
      <c r="BA116" s="7">
        <v>1.941786</v>
      </c>
      <c r="BB116" s="7">
        <v>12</v>
      </c>
      <c r="BC116" s="7">
        <v>1.275834</v>
      </c>
      <c r="BD116" s="29" t="s">
        <v>98</v>
      </c>
      <c r="BG116" s="7" t="s">
        <v>101</v>
      </c>
      <c r="BH116" s="9" t="s">
        <v>626</v>
      </c>
      <c r="BI116" s="9" t="s">
        <v>126</v>
      </c>
      <c r="BJ116" s="10" t="str">
        <f t="shared" si="7"/>
        <v>subtropic</v>
      </c>
      <c r="BK116" s="11" t="s">
        <v>164</v>
      </c>
    </row>
    <row r="117" ht="28.5" spans="1:63">
      <c r="A117">
        <v>115</v>
      </c>
      <c r="B117" t="s">
        <v>627</v>
      </c>
      <c r="C117" t="s">
        <v>628</v>
      </c>
      <c r="D117" t="s">
        <v>629</v>
      </c>
      <c r="E117" t="s">
        <v>630</v>
      </c>
      <c r="F117">
        <v>2019</v>
      </c>
      <c r="G117" s="12" t="s">
        <v>631</v>
      </c>
      <c r="H117" t="s">
        <v>303</v>
      </c>
      <c r="I117">
        <v>46.7271</v>
      </c>
      <c r="J117">
        <v>19.0506</v>
      </c>
      <c r="K117">
        <v>25</v>
      </c>
      <c r="L117" t="s">
        <v>216</v>
      </c>
      <c r="M117" t="str">
        <f t="shared" si="6"/>
        <v>Group D</v>
      </c>
      <c r="N117" t="s">
        <v>182</v>
      </c>
      <c r="O117" t="s">
        <v>183</v>
      </c>
      <c r="P117" t="s">
        <v>147</v>
      </c>
      <c r="Q117" t="s">
        <v>72</v>
      </c>
      <c r="R117" t="s">
        <v>147</v>
      </c>
      <c r="S117" t="s">
        <v>148</v>
      </c>
      <c r="T117" t="s">
        <v>74</v>
      </c>
      <c r="U117" t="s">
        <v>75</v>
      </c>
      <c r="V117" s="1" t="s">
        <v>117</v>
      </c>
      <c r="W117" s="1" t="s">
        <v>77</v>
      </c>
      <c r="X117" s="1" t="s">
        <v>117</v>
      </c>
      <c r="Y117" s="1" t="s">
        <v>117</v>
      </c>
      <c r="Z117" s="1" t="s">
        <v>118</v>
      </c>
      <c r="AA117" s="13" t="s">
        <v>632</v>
      </c>
      <c r="AB117" s="13" t="s">
        <v>93</v>
      </c>
      <c r="AC117" s="13" t="s">
        <v>633</v>
      </c>
      <c r="AD117" s="3">
        <v>6.54</v>
      </c>
      <c r="AE117" s="3">
        <v>20</v>
      </c>
      <c r="AF117" s="3">
        <v>3.081</v>
      </c>
      <c r="AG117" s="4">
        <v>5.327</v>
      </c>
      <c r="AH117" s="3">
        <v>21</v>
      </c>
      <c r="AI117" s="3">
        <v>3.106</v>
      </c>
      <c r="BH117" s="9" t="s">
        <v>82</v>
      </c>
      <c r="BI117" s="9" t="s">
        <v>82</v>
      </c>
      <c r="BJ117" s="10" t="str">
        <f t="shared" si="7"/>
        <v>temperate</v>
      </c>
      <c r="BK117" s="11" t="s">
        <v>137</v>
      </c>
    </row>
    <row r="118" ht="42.75" spans="1:63">
      <c r="A118">
        <v>116</v>
      </c>
      <c r="B118" t="s">
        <v>634</v>
      </c>
      <c r="C118" t="s">
        <v>635</v>
      </c>
      <c r="D118" t="s">
        <v>636</v>
      </c>
      <c r="E118" t="s">
        <v>637</v>
      </c>
      <c r="F118">
        <v>2019</v>
      </c>
      <c r="G118" s="12" t="s">
        <v>638</v>
      </c>
      <c r="H118" t="s">
        <v>639</v>
      </c>
      <c r="I118">
        <v>14.7</v>
      </c>
      <c r="J118">
        <v>121.333</v>
      </c>
      <c r="K118">
        <v>2</v>
      </c>
      <c r="L118" t="s">
        <v>256</v>
      </c>
      <c r="M118" t="str">
        <f t="shared" si="6"/>
        <v>Group A</v>
      </c>
      <c r="N118" t="s">
        <v>444</v>
      </c>
      <c r="O118" t="s">
        <v>71</v>
      </c>
      <c r="P118" t="s">
        <v>147</v>
      </c>
      <c r="Q118" t="s">
        <v>72</v>
      </c>
      <c r="R118" t="s">
        <v>147</v>
      </c>
      <c r="S118" t="s">
        <v>148</v>
      </c>
      <c r="T118" t="s">
        <v>74</v>
      </c>
      <c r="U118" t="s">
        <v>75</v>
      </c>
      <c r="V118" s="1" t="s">
        <v>333</v>
      </c>
      <c r="X118" s="1" t="s">
        <v>172</v>
      </c>
      <c r="Y118" s="1" t="s">
        <v>172</v>
      </c>
      <c r="Z118" s="1" t="s">
        <v>173</v>
      </c>
      <c r="AA118" s="13">
        <v>21</v>
      </c>
      <c r="AB118" s="13" t="s">
        <v>79</v>
      </c>
      <c r="AC118" s="13" t="s">
        <v>80</v>
      </c>
      <c r="AD118" s="3">
        <v>16.31</v>
      </c>
      <c r="AE118" s="3">
        <v>8</v>
      </c>
      <c r="AF118" s="3">
        <v>6.505</v>
      </c>
      <c r="AG118" s="4">
        <v>4.31</v>
      </c>
      <c r="AH118" s="3">
        <v>8</v>
      </c>
      <c r="AI118" s="3">
        <v>3.677</v>
      </c>
      <c r="AJ118" s="5" t="s">
        <v>81</v>
      </c>
      <c r="AK118" s="14">
        <v>2.01</v>
      </c>
      <c r="AL118" s="14">
        <v>8</v>
      </c>
      <c r="AM118" s="14">
        <v>0.283</v>
      </c>
      <c r="AN118" s="14">
        <v>0.62</v>
      </c>
      <c r="AO118" s="14">
        <v>8</v>
      </c>
      <c r="AP118" s="14">
        <v>0.622</v>
      </c>
      <c r="AQ118" s="7">
        <v>47</v>
      </c>
      <c r="AR118" s="15" t="s">
        <v>640</v>
      </c>
      <c r="AS118" s="15" t="s">
        <v>641</v>
      </c>
      <c r="AT118" s="7" t="s">
        <v>122</v>
      </c>
      <c r="AU118" s="7">
        <v>1.521046</v>
      </c>
      <c r="AV118" s="7">
        <v>28</v>
      </c>
      <c r="AW118" s="7">
        <v>0.747106</v>
      </c>
      <c r="AX118" s="7">
        <v>0.503183</v>
      </c>
      <c r="AY118" s="7">
        <v>28</v>
      </c>
      <c r="AZ118" s="7">
        <v>0.262388</v>
      </c>
      <c r="BA118" s="7">
        <v>1.555262</v>
      </c>
      <c r="BB118" s="7">
        <v>64</v>
      </c>
      <c r="BC118" s="7">
        <v>0.442674</v>
      </c>
      <c r="BD118" s="29" t="s">
        <v>98</v>
      </c>
      <c r="BG118" s="7" t="s">
        <v>101</v>
      </c>
      <c r="BH118" s="9" t="s">
        <v>639</v>
      </c>
      <c r="BI118" s="9" t="s">
        <v>126</v>
      </c>
      <c r="BJ118" s="10" t="str">
        <f t="shared" si="7"/>
        <v>tropic</v>
      </c>
      <c r="BK118" s="11" t="s">
        <v>127</v>
      </c>
    </row>
    <row r="119" ht="42.75" spans="1:63">
      <c r="A119">
        <v>117</v>
      </c>
      <c r="B119" t="s">
        <v>642</v>
      </c>
      <c r="C119" t="s">
        <v>643</v>
      </c>
      <c r="D119" t="s">
        <v>644</v>
      </c>
      <c r="E119" t="s">
        <v>645</v>
      </c>
      <c r="F119">
        <v>2019</v>
      </c>
      <c r="G119" s="12" t="s">
        <v>646</v>
      </c>
      <c r="H119" t="s">
        <v>145</v>
      </c>
      <c r="I119">
        <v>-32.0661</v>
      </c>
      <c r="J119">
        <v>-52.1641</v>
      </c>
      <c r="K119">
        <v>14</v>
      </c>
      <c r="L119" t="s">
        <v>89</v>
      </c>
      <c r="M119" t="str">
        <f t="shared" si="6"/>
        <v>Group C</v>
      </c>
      <c r="N119" t="s">
        <v>70</v>
      </c>
      <c r="O119" t="s">
        <v>146</v>
      </c>
      <c r="P119" t="s">
        <v>277</v>
      </c>
      <c r="Q119" t="s">
        <v>278</v>
      </c>
      <c r="R119" t="s">
        <v>277</v>
      </c>
      <c r="S119" t="s">
        <v>279</v>
      </c>
      <c r="T119" t="s">
        <v>280</v>
      </c>
      <c r="U119" t="s">
        <v>75</v>
      </c>
      <c r="V119" s="1" t="s">
        <v>647</v>
      </c>
      <c r="X119" s="1" t="s">
        <v>344</v>
      </c>
      <c r="Y119" s="1" t="s">
        <v>286</v>
      </c>
      <c r="Z119" s="1" t="s">
        <v>287</v>
      </c>
      <c r="AA119" s="13">
        <v>2.4</v>
      </c>
      <c r="AB119" s="13" t="s">
        <v>192</v>
      </c>
      <c r="AC119" s="13" t="s">
        <v>80</v>
      </c>
      <c r="AD119" s="3">
        <v>19.875</v>
      </c>
      <c r="AE119" s="3">
        <v>8</v>
      </c>
      <c r="AF119" s="3">
        <v>7.025</v>
      </c>
      <c r="AG119" s="4">
        <v>17.333</v>
      </c>
      <c r="AH119" s="3">
        <v>6</v>
      </c>
      <c r="AI119" s="3">
        <v>4.955</v>
      </c>
      <c r="AJ119" s="5" t="s">
        <v>81</v>
      </c>
      <c r="AK119" s="14">
        <v>1.946</v>
      </c>
      <c r="AL119" s="14">
        <v>8</v>
      </c>
      <c r="AM119" s="14">
        <v>0.519</v>
      </c>
      <c r="AN119" s="14">
        <v>2.047</v>
      </c>
      <c r="AO119" s="14">
        <v>6</v>
      </c>
      <c r="AP119" s="14">
        <v>0.3181</v>
      </c>
      <c r="AQ119" s="7">
        <v>21</v>
      </c>
      <c r="AR119" s="15" t="s">
        <v>648</v>
      </c>
      <c r="AS119" s="15" t="s">
        <v>649</v>
      </c>
      <c r="AT119" s="7" t="s">
        <v>122</v>
      </c>
      <c r="AU119" s="7">
        <v>0.372787</v>
      </c>
      <c r="AV119" s="7">
        <v>15</v>
      </c>
      <c r="AW119" s="7">
        <v>0.169159</v>
      </c>
      <c r="AX119" s="7">
        <v>0.607241</v>
      </c>
      <c r="AY119" s="7">
        <v>28</v>
      </c>
      <c r="AZ119" s="7">
        <v>0.400239</v>
      </c>
      <c r="BA119" s="7">
        <v>0.950209</v>
      </c>
      <c r="BB119" s="7">
        <v>48</v>
      </c>
      <c r="BC119" s="7">
        <v>0.266733</v>
      </c>
      <c r="BD119" s="29" t="s">
        <v>98</v>
      </c>
      <c r="BG119" s="7" t="s">
        <v>479</v>
      </c>
      <c r="BH119" s="9" t="s">
        <v>82</v>
      </c>
      <c r="BI119" s="9" t="s">
        <v>82</v>
      </c>
      <c r="BJ119" s="10" t="str">
        <f t="shared" si="7"/>
        <v>subtropic</v>
      </c>
      <c r="BK119" s="11" t="s">
        <v>137</v>
      </c>
    </row>
    <row r="120" ht="28.5" spans="1:63">
      <c r="A120">
        <v>118</v>
      </c>
      <c r="B120" t="s">
        <v>650</v>
      </c>
      <c r="C120" t="s">
        <v>651</v>
      </c>
      <c r="D120" t="s">
        <v>652</v>
      </c>
      <c r="E120" t="s">
        <v>653</v>
      </c>
      <c r="F120">
        <v>2019</v>
      </c>
      <c r="G120" s="12" t="s">
        <v>654</v>
      </c>
      <c r="H120" t="s">
        <v>611</v>
      </c>
      <c r="I120">
        <v>3.1319</v>
      </c>
      <c r="J120">
        <v>101.6841</v>
      </c>
      <c r="K120">
        <v>1</v>
      </c>
      <c r="L120" t="s">
        <v>512</v>
      </c>
      <c r="M120" t="str">
        <f t="shared" si="6"/>
        <v>Group A</v>
      </c>
      <c r="N120" t="s">
        <v>70</v>
      </c>
      <c r="O120" t="s">
        <v>71</v>
      </c>
      <c r="P120" t="s">
        <v>217</v>
      </c>
      <c r="Q120" t="s">
        <v>217</v>
      </c>
      <c r="R120" t="s">
        <v>218</v>
      </c>
      <c r="S120" t="s">
        <v>219</v>
      </c>
      <c r="T120" t="s">
        <v>74</v>
      </c>
      <c r="U120" t="s">
        <v>75</v>
      </c>
      <c r="V120" s="1" t="s">
        <v>343</v>
      </c>
      <c r="X120" s="1" t="s">
        <v>172</v>
      </c>
      <c r="Y120" s="1" t="s">
        <v>324</v>
      </c>
      <c r="Z120" s="1" t="s">
        <v>325</v>
      </c>
      <c r="AA120" s="13">
        <v>31</v>
      </c>
      <c r="AB120" s="13" t="s">
        <v>79</v>
      </c>
      <c r="AC120" s="13" t="s">
        <v>80</v>
      </c>
      <c r="AD120" s="3">
        <v>9.5</v>
      </c>
      <c r="AE120" s="3">
        <v>2</v>
      </c>
      <c r="AF120" s="3">
        <v>0.5</v>
      </c>
      <c r="AG120" s="4">
        <v>11</v>
      </c>
      <c r="AH120" s="3">
        <v>2</v>
      </c>
      <c r="AI120" s="3">
        <v>3</v>
      </c>
      <c r="AJ120" s="5" t="s">
        <v>81</v>
      </c>
      <c r="AK120" s="14">
        <v>1.365</v>
      </c>
      <c r="AL120" s="14">
        <v>2</v>
      </c>
      <c r="AM120" s="14">
        <v>0.111</v>
      </c>
      <c r="AN120" s="14">
        <v>1.536</v>
      </c>
      <c r="AO120" s="14">
        <v>2</v>
      </c>
      <c r="AP120" s="14">
        <v>0.23</v>
      </c>
      <c r="AQ120" s="7">
        <v>22</v>
      </c>
      <c r="AR120" s="15" t="s">
        <v>655</v>
      </c>
      <c r="AS120" s="15" t="s">
        <v>656</v>
      </c>
      <c r="AT120" s="7" t="s">
        <v>122</v>
      </c>
      <c r="AU120" s="7">
        <v>0.689917</v>
      </c>
      <c r="AV120" s="7">
        <v>28</v>
      </c>
      <c r="AW120" s="7">
        <v>0.347254</v>
      </c>
      <c r="AX120" s="7">
        <v>0.43497</v>
      </c>
      <c r="AY120" s="7">
        <v>28</v>
      </c>
      <c r="AZ120" s="7">
        <v>0.198914</v>
      </c>
      <c r="BA120" s="7">
        <v>1.192743</v>
      </c>
      <c r="BB120" s="7">
        <v>64</v>
      </c>
      <c r="BC120" s="7">
        <v>0.266279</v>
      </c>
      <c r="BD120" s="29" t="s">
        <v>98</v>
      </c>
      <c r="BG120" s="7" t="s">
        <v>101</v>
      </c>
      <c r="BH120" s="9" t="s">
        <v>297</v>
      </c>
      <c r="BI120" s="9" t="s">
        <v>126</v>
      </c>
      <c r="BJ120" s="10" t="str">
        <f t="shared" si="7"/>
        <v>tropic</v>
      </c>
      <c r="BK120" s="11" t="s">
        <v>164</v>
      </c>
    </row>
    <row r="121" ht="42.75" spans="1:63">
      <c r="A121">
        <v>119</v>
      </c>
      <c r="B121" t="s">
        <v>657</v>
      </c>
      <c r="C121" t="s">
        <v>658</v>
      </c>
      <c r="D121" t="s">
        <v>659</v>
      </c>
      <c r="E121" t="s">
        <v>660</v>
      </c>
      <c r="F121">
        <v>2019</v>
      </c>
      <c r="G121" s="12" t="s">
        <v>661</v>
      </c>
      <c r="H121" t="s">
        <v>255</v>
      </c>
      <c r="I121">
        <v>25.9</v>
      </c>
      <c r="J121">
        <v>-99.1833</v>
      </c>
      <c r="K121">
        <v>6</v>
      </c>
      <c r="L121" t="s">
        <v>662</v>
      </c>
      <c r="M121" t="str">
        <f t="shared" si="6"/>
        <v>Group B</v>
      </c>
      <c r="N121" t="s">
        <v>70</v>
      </c>
      <c r="O121" t="s">
        <v>146</v>
      </c>
      <c r="P121" t="s">
        <v>72</v>
      </c>
      <c r="Q121" t="s">
        <v>72</v>
      </c>
      <c r="R121" t="s">
        <v>72</v>
      </c>
      <c r="S121" t="s">
        <v>73</v>
      </c>
      <c r="T121" t="s">
        <v>74</v>
      </c>
      <c r="U121" t="s">
        <v>75</v>
      </c>
      <c r="V121" s="1" t="s">
        <v>172</v>
      </c>
      <c r="X121" s="1" t="s">
        <v>172</v>
      </c>
      <c r="Y121" s="1" t="s">
        <v>172</v>
      </c>
      <c r="Z121" s="1" t="s">
        <v>173</v>
      </c>
      <c r="AA121" s="13">
        <v>51</v>
      </c>
      <c r="AB121" s="13" t="s">
        <v>119</v>
      </c>
      <c r="AC121" s="13" t="s">
        <v>94</v>
      </c>
      <c r="AD121" s="3">
        <v>35.17</v>
      </c>
      <c r="AE121" s="3">
        <v>3</v>
      </c>
      <c r="AF121" s="3">
        <v>1.818</v>
      </c>
      <c r="AG121" s="4">
        <v>15.83</v>
      </c>
      <c r="AH121" s="3">
        <v>6</v>
      </c>
      <c r="AI121" s="3">
        <v>5.07</v>
      </c>
      <c r="AJ121" s="5" t="s">
        <v>81</v>
      </c>
      <c r="AK121" s="14">
        <v>2.52</v>
      </c>
      <c r="AL121" s="14">
        <v>3</v>
      </c>
      <c r="AM121" s="14">
        <v>0.156</v>
      </c>
      <c r="AN121" s="14">
        <v>1.29</v>
      </c>
      <c r="AO121" s="14">
        <v>6</v>
      </c>
      <c r="AP121" s="14">
        <v>0.367</v>
      </c>
      <c r="BH121" s="9" t="s">
        <v>626</v>
      </c>
      <c r="BI121" s="9" t="s">
        <v>126</v>
      </c>
      <c r="BJ121" s="10" t="str">
        <f t="shared" si="7"/>
        <v>subtropic</v>
      </c>
      <c r="BK121" s="11" t="s">
        <v>164</v>
      </c>
    </row>
    <row r="122" ht="42.75" spans="1:63">
      <c r="A122">
        <v>120</v>
      </c>
      <c r="B122" t="s">
        <v>657</v>
      </c>
      <c r="C122" t="s">
        <v>658</v>
      </c>
      <c r="D122" t="s">
        <v>659</v>
      </c>
      <c r="E122" t="s">
        <v>660</v>
      </c>
      <c r="F122">
        <v>2019</v>
      </c>
      <c r="G122" s="12" t="s">
        <v>661</v>
      </c>
      <c r="H122" t="s">
        <v>255</v>
      </c>
      <c r="I122">
        <v>25.9</v>
      </c>
      <c r="J122">
        <v>-99.1833</v>
      </c>
      <c r="K122">
        <v>6</v>
      </c>
      <c r="L122" t="s">
        <v>662</v>
      </c>
      <c r="M122" t="str">
        <f t="shared" si="6"/>
        <v>Group B</v>
      </c>
      <c r="N122" t="s">
        <v>70</v>
      </c>
      <c r="O122" t="s">
        <v>146</v>
      </c>
      <c r="P122" t="s">
        <v>72</v>
      </c>
      <c r="Q122" t="s">
        <v>72</v>
      </c>
      <c r="R122" t="s">
        <v>72</v>
      </c>
      <c r="S122" t="s">
        <v>73</v>
      </c>
      <c r="T122" t="s">
        <v>74</v>
      </c>
      <c r="U122" t="s">
        <v>75</v>
      </c>
      <c r="V122" s="1" t="s">
        <v>172</v>
      </c>
      <c r="X122" s="1" t="s">
        <v>172</v>
      </c>
      <c r="Y122" s="1" t="s">
        <v>172</v>
      </c>
      <c r="Z122" s="1" t="s">
        <v>173</v>
      </c>
      <c r="AA122" s="13">
        <v>51</v>
      </c>
      <c r="AB122" s="13" t="s">
        <v>119</v>
      </c>
      <c r="AC122" s="13" t="s">
        <v>94</v>
      </c>
      <c r="AQ122" s="7">
        <v>23</v>
      </c>
      <c r="AR122" s="15" t="s">
        <v>304</v>
      </c>
      <c r="AS122" s="15" t="s">
        <v>305</v>
      </c>
      <c r="AT122" s="7" t="s">
        <v>122</v>
      </c>
      <c r="AU122" s="7">
        <v>0.646255</v>
      </c>
      <c r="AV122" s="7">
        <v>15</v>
      </c>
      <c r="AW122" s="7">
        <v>0.359867</v>
      </c>
      <c r="AX122" s="7">
        <v>0.165338</v>
      </c>
      <c r="AY122" s="7">
        <v>3</v>
      </c>
      <c r="AZ122" s="7">
        <v>0.065646</v>
      </c>
      <c r="BA122" s="7">
        <v>0.807933</v>
      </c>
      <c r="BB122" s="7">
        <v>18</v>
      </c>
      <c r="BC122" s="7">
        <v>0.425956</v>
      </c>
      <c r="BD122" s="29" t="s">
        <v>98</v>
      </c>
      <c r="BE122" s="8" t="s">
        <v>123</v>
      </c>
      <c r="BG122" s="7" t="s">
        <v>101</v>
      </c>
      <c r="BH122" s="9" t="s">
        <v>626</v>
      </c>
      <c r="BI122" s="9" t="s">
        <v>126</v>
      </c>
      <c r="BJ122" s="10" t="str">
        <f t="shared" si="7"/>
        <v>subtropic</v>
      </c>
      <c r="BK122" s="11" t="s">
        <v>164</v>
      </c>
    </row>
    <row r="123" ht="42.75" spans="1:63">
      <c r="A123">
        <v>121</v>
      </c>
      <c r="B123" t="s">
        <v>657</v>
      </c>
      <c r="C123" t="s">
        <v>658</v>
      </c>
      <c r="D123" t="s">
        <v>659</v>
      </c>
      <c r="E123" t="s">
        <v>660</v>
      </c>
      <c r="F123">
        <v>2019</v>
      </c>
      <c r="G123" s="12" t="s">
        <v>661</v>
      </c>
      <c r="H123" t="s">
        <v>255</v>
      </c>
      <c r="I123">
        <v>25.9</v>
      </c>
      <c r="J123">
        <v>-99.1833</v>
      </c>
      <c r="K123">
        <v>6</v>
      </c>
      <c r="L123" t="s">
        <v>662</v>
      </c>
      <c r="M123" t="str">
        <f t="shared" si="6"/>
        <v>Group B</v>
      </c>
      <c r="N123" t="s">
        <v>70</v>
      </c>
      <c r="O123" t="s">
        <v>146</v>
      </c>
      <c r="P123" t="s">
        <v>72</v>
      </c>
      <c r="Q123" t="s">
        <v>72</v>
      </c>
      <c r="R123" t="s">
        <v>72</v>
      </c>
      <c r="S123" t="s">
        <v>73</v>
      </c>
      <c r="T123" t="s">
        <v>74</v>
      </c>
      <c r="U123" t="s">
        <v>75</v>
      </c>
      <c r="V123" s="1" t="s">
        <v>172</v>
      </c>
      <c r="X123" s="1" t="s">
        <v>172</v>
      </c>
      <c r="Y123" s="1" t="s">
        <v>172</v>
      </c>
      <c r="Z123" s="1" t="s">
        <v>173</v>
      </c>
      <c r="AA123" s="13">
        <v>51</v>
      </c>
      <c r="AB123" s="13" t="s">
        <v>119</v>
      </c>
      <c r="AC123" s="13" t="s">
        <v>94</v>
      </c>
      <c r="AQ123" s="7">
        <v>55</v>
      </c>
      <c r="AR123" s="15" t="s">
        <v>304</v>
      </c>
      <c r="AS123" s="15" t="s">
        <v>305</v>
      </c>
      <c r="AT123" s="7" t="s">
        <v>122</v>
      </c>
      <c r="AU123" s="7">
        <v>0.618152</v>
      </c>
      <c r="AV123" s="7">
        <v>15</v>
      </c>
      <c r="AW123" s="7">
        <v>0.35665</v>
      </c>
      <c r="AX123" s="7">
        <v>0.310765</v>
      </c>
      <c r="AY123" s="7">
        <v>3</v>
      </c>
      <c r="AZ123" s="7">
        <v>0.158757</v>
      </c>
      <c r="BA123" s="7">
        <v>0.876586</v>
      </c>
      <c r="BB123" s="7">
        <v>18</v>
      </c>
      <c r="BC123" s="7">
        <v>0.246723</v>
      </c>
      <c r="BD123" s="29" t="s">
        <v>98</v>
      </c>
      <c r="BE123" s="8" t="s">
        <v>129</v>
      </c>
      <c r="BG123" s="7" t="s">
        <v>101</v>
      </c>
      <c r="BH123" s="9" t="s">
        <v>626</v>
      </c>
      <c r="BI123" s="9" t="s">
        <v>126</v>
      </c>
      <c r="BJ123" s="10" t="str">
        <f t="shared" si="7"/>
        <v>subtropic</v>
      </c>
      <c r="BK123" s="11" t="s">
        <v>164</v>
      </c>
    </row>
    <row r="124" ht="42.75" spans="1:63">
      <c r="A124">
        <v>122</v>
      </c>
      <c r="B124" t="s">
        <v>663</v>
      </c>
      <c r="C124" t="s">
        <v>664</v>
      </c>
      <c r="D124" t="s">
        <v>665</v>
      </c>
      <c r="E124" t="s">
        <v>666</v>
      </c>
      <c r="F124">
        <v>2019</v>
      </c>
      <c r="G124" s="12" t="s">
        <v>667</v>
      </c>
      <c r="H124" t="s">
        <v>356</v>
      </c>
      <c r="I124">
        <v>-33.8818</v>
      </c>
      <c r="J124">
        <v>150.8609</v>
      </c>
      <c r="K124">
        <v>14</v>
      </c>
      <c r="L124" t="s">
        <v>89</v>
      </c>
      <c r="M124" t="str">
        <f t="shared" ref="M124:M155" si="8">"Group "&amp;LEFT(L124,1)</f>
        <v>Group C</v>
      </c>
      <c r="N124" t="s">
        <v>182</v>
      </c>
      <c r="O124" t="s">
        <v>358</v>
      </c>
      <c r="P124" t="s">
        <v>72</v>
      </c>
      <c r="Q124" t="s">
        <v>72</v>
      </c>
      <c r="R124" t="s">
        <v>72</v>
      </c>
      <c r="S124" t="s">
        <v>73</v>
      </c>
      <c r="T124" t="s">
        <v>74</v>
      </c>
      <c r="U124" t="s">
        <v>75</v>
      </c>
      <c r="V124" s="1" t="s">
        <v>172</v>
      </c>
      <c r="X124" s="1" t="s">
        <v>172</v>
      </c>
      <c r="Y124" s="1" t="s">
        <v>172</v>
      </c>
      <c r="Z124" s="1" t="s">
        <v>173</v>
      </c>
      <c r="AA124" s="13">
        <v>33</v>
      </c>
      <c r="AB124" s="13" t="s">
        <v>79</v>
      </c>
      <c r="AC124" s="13" t="s">
        <v>80</v>
      </c>
      <c r="AD124" s="3">
        <v>21.417</v>
      </c>
      <c r="AE124" s="3">
        <v>5</v>
      </c>
      <c r="AF124" s="3">
        <v>4.599</v>
      </c>
      <c r="AG124" s="4">
        <v>10.961</v>
      </c>
      <c r="AH124" s="3">
        <v>10</v>
      </c>
      <c r="AI124" s="3">
        <v>3.332</v>
      </c>
      <c r="AJ124" s="5" t="s">
        <v>81</v>
      </c>
      <c r="AK124" s="14">
        <v>2.146</v>
      </c>
      <c r="AL124" s="14">
        <v>5</v>
      </c>
      <c r="AM124" s="14">
        <v>0.132</v>
      </c>
      <c r="AN124" s="14">
        <v>0.834</v>
      </c>
      <c r="AO124" s="14">
        <v>10</v>
      </c>
      <c r="AP124" s="14">
        <v>0.356</v>
      </c>
      <c r="BE124" s="8" t="s">
        <v>135</v>
      </c>
      <c r="BH124" s="9" t="s">
        <v>361</v>
      </c>
      <c r="BI124" s="9" t="s">
        <v>126</v>
      </c>
      <c r="BJ124" s="10" t="str">
        <f t="shared" si="7"/>
        <v>subtropic</v>
      </c>
      <c r="BK124" s="11" t="s">
        <v>164</v>
      </c>
    </row>
    <row r="125" ht="42.75" spans="1:63">
      <c r="A125">
        <v>123</v>
      </c>
      <c r="B125" t="s">
        <v>663</v>
      </c>
      <c r="C125" t="s">
        <v>664</v>
      </c>
      <c r="D125" t="s">
        <v>665</v>
      </c>
      <c r="E125" t="s">
        <v>666</v>
      </c>
      <c r="F125">
        <v>2019</v>
      </c>
      <c r="G125" s="12" t="s">
        <v>667</v>
      </c>
      <c r="H125" t="s">
        <v>356</v>
      </c>
      <c r="I125">
        <v>-33.8818</v>
      </c>
      <c r="J125">
        <v>150.8609</v>
      </c>
      <c r="K125">
        <v>14</v>
      </c>
      <c r="L125" t="s">
        <v>89</v>
      </c>
      <c r="M125" t="str">
        <f t="shared" si="8"/>
        <v>Group C</v>
      </c>
      <c r="N125" t="s">
        <v>182</v>
      </c>
      <c r="O125" t="s">
        <v>358</v>
      </c>
      <c r="P125" t="s">
        <v>72</v>
      </c>
      <c r="Q125" t="s">
        <v>72</v>
      </c>
      <c r="R125" t="s">
        <v>72</v>
      </c>
      <c r="S125" t="s">
        <v>73</v>
      </c>
      <c r="T125" t="s">
        <v>74</v>
      </c>
      <c r="U125" t="s">
        <v>75</v>
      </c>
      <c r="V125" s="1" t="s">
        <v>172</v>
      </c>
      <c r="X125" s="1" t="s">
        <v>172</v>
      </c>
      <c r="Y125" s="1" t="s">
        <v>172</v>
      </c>
      <c r="Z125" s="1" t="s">
        <v>173</v>
      </c>
      <c r="AA125" s="13">
        <v>33</v>
      </c>
      <c r="AB125" s="13" t="s">
        <v>79</v>
      </c>
      <c r="AC125" s="13" t="s">
        <v>80</v>
      </c>
      <c r="AD125" s="3">
        <v>19.35</v>
      </c>
      <c r="AE125" s="3">
        <v>5</v>
      </c>
      <c r="AF125" s="3">
        <v>5.925</v>
      </c>
      <c r="AG125" s="4">
        <v>8.47</v>
      </c>
      <c r="AH125" s="3">
        <v>10</v>
      </c>
      <c r="AI125" s="3">
        <v>4.838</v>
      </c>
      <c r="AJ125" s="5" t="s">
        <v>81</v>
      </c>
      <c r="AK125" s="14">
        <v>2.3</v>
      </c>
      <c r="AL125" s="14">
        <v>5</v>
      </c>
      <c r="AM125" s="14">
        <v>0.29</v>
      </c>
      <c r="AN125" s="14">
        <v>0.49</v>
      </c>
      <c r="AO125" s="14">
        <v>10</v>
      </c>
      <c r="AP125" s="14">
        <v>0.411</v>
      </c>
      <c r="BE125" s="8" t="s">
        <v>138</v>
      </c>
      <c r="BH125" s="9" t="s">
        <v>361</v>
      </c>
      <c r="BI125" s="9" t="s">
        <v>126</v>
      </c>
      <c r="BJ125" s="10" t="str">
        <f t="shared" si="7"/>
        <v>subtropic</v>
      </c>
      <c r="BK125" s="11" t="s">
        <v>164</v>
      </c>
    </row>
    <row r="126" ht="42.75" spans="1:63">
      <c r="A126">
        <v>124</v>
      </c>
      <c r="B126" t="s">
        <v>668</v>
      </c>
      <c r="C126" t="s">
        <v>669</v>
      </c>
      <c r="D126" t="s">
        <v>670</v>
      </c>
      <c r="E126" t="s">
        <v>671</v>
      </c>
      <c r="F126">
        <v>2018</v>
      </c>
      <c r="G126" s="12" t="s">
        <v>672</v>
      </c>
      <c r="H126" t="s">
        <v>68</v>
      </c>
      <c r="I126">
        <v>29.75</v>
      </c>
      <c r="J126">
        <v>106.5</v>
      </c>
      <c r="K126">
        <v>14</v>
      </c>
      <c r="L126" t="s">
        <v>89</v>
      </c>
      <c r="M126" t="str">
        <f t="shared" si="8"/>
        <v>Group C</v>
      </c>
      <c r="N126" t="s">
        <v>70</v>
      </c>
      <c r="O126" t="s">
        <v>71</v>
      </c>
      <c r="P126" t="s">
        <v>72</v>
      </c>
      <c r="Q126" t="s">
        <v>72</v>
      </c>
      <c r="R126" t="s">
        <v>72</v>
      </c>
      <c r="S126" t="s">
        <v>73</v>
      </c>
      <c r="T126" t="s">
        <v>74</v>
      </c>
      <c r="U126" t="s">
        <v>75</v>
      </c>
      <c r="V126" s="1" t="s">
        <v>172</v>
      </c>
      <c r="X126" s="1" t="s">
        <v>172</v>
      </c>
      <c r="Y126" s="1" t="s">
        <v>172</v>
      </c>
      <c r="Z126" s="1" t="s">
        <v>173</v>
      </c>
      <c r="AA126" s="13">
        <v>37.8</v>
      </c>
      <c r="AB126" s="13" t="s">
        <v>79</v>
      </c>
      <c r="AC126" s="13" t="s">
        <v>80</v>
      </c>
      <c r="AD126" s="3">
        <v>8.31</v>
      </c>
      <c r="AE126" s="3">
        <v>4</v>
      </c>
      <c r="AF126" s="3">
        <v>3.84</v>
      </c>
      <c r="AG126" s="4">
        <v>4.58</v>
      </c>
      <c r="AH126" s="3">
        <v>11</v>
      </c>
      <c r="AI126" s="3">
        <v>2.33</v>
      </c>
      <c r="AJ126" s="5" t="s">
        <v>81</v>
      </c>
      <c r="AK126" s="14">
        <v>1.68</v>
      </c>
      <c r="AL126" s="14">
        <v>4</v>
      </c>
      <c r="AM126" s="14">
        <v>0.8</v>
      </c>
      <c r="AN126" s="14">
        <v>1.13</v>
      </c>
      <c r="AO126" s="14">
        <v>11</v>
      </c>
      <c r="AP126" s="14">
        <v>0.69</v>
      </c>
      <c r="BH126" s="9" t="s">
        <v>82</v>
      </c>
      <c r="BI126" s="9" t="s">
        <v>82</v>
      </c>
      <c r="BJ126" s="10" t="str">
        <f t="shared" si="7"/>
        <v>subtropic</v>
      </c>
      <c r="BK126" s="11" t="s">
        <v>164</v>
      </c>
    </row>
    <row r="127" ht="42.75" spans="1:63">
      <c r="A127">
        <v>125</v>
      </c>
      <c r="B127" t="s">
        <v>673</v>
      </c>
      <c r="C127" t="s">
        <v>674</v>
      </c>
      <c r="D127" t="s">
        <v>675</v>
      </c>
      <c r="E127" t="s">
        <v>676</v>
      </c>
      <c r="F127">
        <v>2018</v>
      </c>
      <c r="G127" s="12" t="s">
        <v>677</v>
      </c>
      <c r="H127" t="s">
        <v>68</v>
      </c>
      <c r="I127">
        <v>29.5657</v>
      </c>
      <c r="J127">
        <v>106.5512</v>
      </c>
      <c r="K127">
        <v>14</v>
      </c>
      <c r="L127" t="s">
        <v>89</v>
      </c>
      <c r="M127" t="str">
        <f t="shared" si="8"/>
        <v>Group C</v>
      </c>
      <c r="N127" t="s">
        <v>70</v>
      </c>
      <c r="O127" t="s">
        <v>71</v>
      </c>
      <c r="P127" t="s">
        <v>72</v>
      </c>
      <c r="Q127" t="s">
        <v>72</v>
      </c>
      <c r="R127" t="s">
        <v>72</v>
      </c>
      <c r="S127" t="s">
        <v>73</v>
      </c>
      <c r="T127" t="s">
        <v>74</v>
      </c>
      <c r="U127" t="s">
        <v>75</v>
      </c>
      <c r="V127" s="1" t="s">
        <v>172</v>
      </c>
      <c r="X127" s="1" t="s">
        <v>172</v>
      </c>
      <c r="Y127" s="1" t="s">
        <v>172</v>
      </c>
      <c r="Z127" s="1" t="s">
        <v>173</v>
      </c>
      <c r="AA127" s="13">
        <v>42</v>
      </c>
      <c r="AB127" s="13" t="s">
        <v>79</v>
      </c>
      <c r="AC127" s="13" t="s">
        <v>80</v>
      </c>
      <c r="AD127" s="3">
        <v>6.719</v>
      </c>
      <c r="AE127" s="3">
        <v>18</v>
      </c>
      <c r="AF127" s="3">
        <v>4.346</v>
      </c>
      <c r="AG127" s="4">
        <v>3.036</v>
      </c>
      <c r="AH127" s="3">
        <v>24</v>
      </c>
      <c r="AI127" s="3">
        <v>1.008</v>
      </c>
      <c r="AJ127" s="5" t="s">
        <v>81</v>
      </c>
      <c r="AK127" s="14">
        <v>1.033</v>
      </c>
      <c r="AL127" s="14">
        <v>18</v>
      </c>
      <c r="AM127" s="14">
        <v>0.532</v>
      </c>
      <c r="AN127" s="19">
        <v>0.311</v>
      </c>
      <c r="AO127" s="14">
        <v>24</v>
      </c>
      <c r="AP127" s="14">
        <v>0.35</v>
      </c>
      <c r="BH127" s="9" t="s">
        <v>82</v>
      </c>
      <c r="BI127" s="9" t="s">
        <v>82</v>
      </c>
      <c r="BJ127" s="10" t="str">
        <f t="shared" si="7"/>
        <v>subtropic</v>
      </c>
      <c r="BK127" s="11" t="s">
        <v>137</v>
      </c>
    </row>
    <row r="128" ht="42.75" spans="1:63">
      <c r="A128">
        <v>126</v>
      </c>
      <c r="B128" t="s">
        <v>678</v>
      </c>
      <c r="C128" t="s">
        <v>679</v>
      </c>
      <c r="D128" t="s">
        <v>680</v>
      </c>
      <c r="E128" t="s">
        <v>681</v>
      </c>
      <c r="F128">
        <v>2018</v>
      </c>
      <c r="G128" s="12" t="s">
        <v>682</v>
      </c>
      <c r="H128" t="s">
        <v>276</v>
      </c>
      <c r="I128">
        <v>38.33</v>
      </c>
      <c r="J128">
        <v>-76.5</v>
      </c>
      <c r="K128">
        <v>14</v>
      </c>
      <c r="L128" t="s">
        <v>89</v>
      </c>
      <c r="M128" t="str">
        <f t="shared" si="8"/>
        <v>Group C</v>
      </c>
      <c r="N128" t="s">
        <v>182</v>
      </c>
      <c r="O128" t="s">
        <v>183</v>
      </c>
      <c r="P128" t="s">
        <v>562</v>
      </c>
      <c r="Q128" t="s">
        <v>113</v>
      </c>
      <c r="R128" t="s">
        <v>114</v>
      </c>
      <c r="S128" t="s">
        <v>563</v>
      </c>
      <c r="T128" t="s">
        <v>116</v>
      </c>
      <c r="U128" t="s">
        <v>75</v>
      </c>
      <c r="V128" s="1" t="s">
        <v>683</v>
      </c>
      <c r="W128" s="1" t="s">
        <v>77</v>
      </c>
      <c r="X128" s="1" t="s">
        <v>172</v>
      </c>
      <c r="Y128" s="1" t="s">
        <v>281</v>
      </c>
      <c r="Z128" s="1" t="s">
        <v>538</v>
      </c>
      <c r="AA128" s="13">
        <v>203</v>
      </c>
      <c r="AB128" s="13" t="s">
        <v>93</v>
      </c>
      <c r="AC128" s="13" t="s">
        <v>94</v>
      </c>
      <c r="AD128" s="4">
        <v>4.646</v>
      </c>
      <c r="AE128" s="3">
        <v>5</v>
      </c>
      <c r="AF128" s="3">
        <v>0.625</v>
      </c>
      <c r="AG128" s="4">
        <v>5.162</v>
      </c>
      <c r="AH128" s="3">
        <v>4</v>
      </c>
      <c r="AI128" s="3">
        <v>0.394</v>
      </c>
      <c r="AJ128" s="5" t="s">
        <v>81</v>
      </c>
      <c r="AK128" s="14">
        <v>0.995</v>
      </c>
      <c r="AL128" s="14">
        <v>5</v>
      </c>
      <c r="AM128" s="14">
        <v>0.125</v>
      </c>
      <c r="AN128" s="14">
        <v>1.239</v>
      </c>
      <c r="AO128" s="14">
        <v>4</v>
      </c>
      <c r="AP128" s="14">
        <v>0.086</v>
      </c>
      <c r="BH128" s="9" t="s">
        <v>626</v>
      </c>
      <c r="BI128" s="9" t="s">
        <v>126</v>
      </c>
      <c r="BJ128" s="10" t="str">
        <f t="shared" si="7"/>
        <v>subtropic</v>
      </c>
      <c r="BK128" s="11" t="s">
        <v>164</v>
      </c>
    </row>
    <row r="129" ht="42.75" spans="1:63">
      <c r="A129">
        <v>127</v>
      </c>
      <c r="B129" t="s">
        <v>684</v>
      </c>
      <c r="C129" t="s">
        <v>685</v>
      </c>
      <c r="D129" t="s">
        <v>686</v>
      </c>
      <c r="E129" t="s">
        <v>687</v>
      </c>
      <c r="F129">
        <v>2018</v>
      </c>
      <c r="G129" s="12" t="s">
        <v>688</v>
      </c>
      <c r="H129" t="s">
        <v>356</v>
      </c>
      <c r="I129">
        <v>-33.6</v>
      </c>
      <c r="J129">
        <v>150.3</v>
      </c>
      <c r="K129">
        <v>15</v>
      </c>
      <c r="L129" t="s">
        <v>357</v>
      </c>
      <c r="M129" t="str">
        <f t="shared" si="8"/>
        <v>Group C</v>
      </c>
      <c r="N129" t="s">
        <v>182</v>
      </c>
      <c r="O129" t="s">
        <v>358</v>
      </c>
      <c r="P129" t="s">
        <v>359</v>
      </c>
      <c r="Q129" t="s">
        <v>267</v>
      </c>
      <c r="R129" t="s">
        <v>268</v>
      </c>
      <c r="S129" t="s">
        <v>360</v>
      </c>
      <c r="T129" t="s">
        <v>74</v>
      </c>
      <c r="U129" t="s">
        <v>75</v>
      </c>
      <c r="V129" s="1" t="s">
        <v>172</v>
      </c>
      <c r="X129" s="1" t="s">
        <v>172</v>
      </c>
      <c r="Y129" s="1" t="s">
        <v>172</v>
      </c>
      <c r="Z129" s="1" t="s">
        <v>173</v>
      </c>
      <c r="AA129" s="13">
        <v>34</v>
      </c>
      <c r="AB129" s="13" t="s">
        <v>79</v>
      </c>
      <c r="AC129" s="13" t="s">
        <v>80</v>
      </c>
      <c r="AD129" s="3">
        <v>9.595</v>
      </c>
      <c r="AE129" s="3">
        <v>5</v>
      </c>
      <c r="AF129" s="3">
        <v>2.351</v>
      </c>
      <c r="AG129" s="4">
        <v>4.566</v>
      </c>
      <c r="AH129" s="3">
        <v>5</v>
      </c>
      <c r="AI129" s="3">
        <v>0.754</v>
      </c>
      <c r="BH129" s="9" t="s">
        <v>361</v>
      </c>
      <c r="BI129" s="9" t="s">
        <v>126</v>
      </c>
      <c r="BJ129" s="10" t="str">
        <f t="shared" si="7"/>
        <v>subtropic</v>
      </c>
      <c r="BK129" s="11" t="s">
        <v>164</v>
      </c>
    </row>
    <row r="130" ht="28.5" spans="1:63">
      <c r="A130">
        <v>128</v>
      </c>
      <c r="B130" t="s">
        <v>689</v>
      </c>
      <c r="C130" t="s">
        <v>690</v>
      </c>
      <c r="D130" t="s">
        <v>691</v>
      </c>
      <c r="E130" t="s">
        <v>692</v>
      </c>
      <c r="F130">
        <v>2017</v>
      </c>
      <c r="G130" s="12" t="s">
        <v>693</v>
      </c>
      <c r="H130" t="s">
        <v>237</v>
      </c>
      <c r="I130">
        <v>51.7593</v>
      </c>
      <c r="J130">
        <v>19.4559</v>
      </c>
      <c r="K130">
        <v>26</v>
      </c>
      <c r="L130" t="s">
        <v>181</v>
      </c>
      <c r="M130" t="str">
        <f t="shared" si="8"/>
        <v>Group D</v>
      </c>
      <c r="N130" t="s">
        <v>182</v>
      </c>
      <c r="O130" t="s">
        <v>183</v>
      </c>
      <c r="P130" t="s">
        <v>277</v>
      </c>
      <c r="Q130" t="s">
        <v>278</v>
      </c>
      <c r="R130" t="s">
        <v>277</v>
      </c>
      <c r="S130" t="s">
        <v>279</v>
      </c>
      <c r="T130" t="s">
        <v>280</v>
      </c>
      <c r="U130" t="s">
        <v>75</v>
      </c>
      <c r="V130" s="1" t="s">
        <v>694</v>
      </c>
      <c r="X130" s="1" t="s">
        <v>344</v>
      </c>
      <c r="Y130" s="1" t="s">
        <v>344</v>
      </c>
      <c r="Z130" s="1" t="s">
        <v>344</v>
      </c>
      <c r="AA130" s="13">
        <v>17.5</v>
      </c>
      <c r="AB130" s="13" t="s">
        <v>79</v>
      </c>
      <c r="AC130" s="13" t="s">
        <v>80</v>
      </c>
      <c r="AD130" s="3">
        <v>6.588</v>
      </c>
      <c r="AE130" s="3">
        <v>6</v>
      </c>
      <c r="AF130" s="3">
        <v>3.705</v>
      </c>
      <c r="AG130" s="4">
        <v>3.662</v>
      </c>
      <c r="AH130" s="3">
        <v>9</v>
      </c>
      <c r="AI130" s="3">
        <v>2.765</v>
      </c>
      <c r="AJ130" s="5" t="s">
        <v>81</v>
      </c>
      <c r="AK130" s="14">
        <v>0.837</v>
      </c>
      <c r="AL130" s="14">
        <v>6</v>
      </c>
      <c r="AM130" s="14">
        <v>0.598</v>
      </c>
      <c r="AN130" s="14">
        <v>0.668</v>
      </c>
      <c r="AO130" s="14">
        <v>9</v>
      </c>
      <c r="AP130" s="14">
        <v>0.568</v>
      </c>
      <c r="BF130" s="1" t="s">
        <v>695</v>
      </c>
      <c r="BH130" s="9" t="s">
        <v>82</v>
      </c>
      <c r="BI130" s="9" t="s">
        <v>82</v>
      </c>
      <c r="BJ130" s="10" t="str">
        <f t="shared" si="7"/>
        <v>temperate</v>
      </c>
      <c r="BK130" s="11" t="s">
        <v>137</v>
      </c>
    </row>
    <row r="131" ht="42.75" spans="1:63">
      <c r="A131">
        <v>129</v>
      </c>
      <c r="B131" t="s">
        <v>696</v>
      </c>
      <c r="C131" t="s">
        <v>697</v>
      </c>
      <c r="D131" t="s">
        <v>698</v>
      </c>
      <c r="E131" t="s">
        <v>699</v>
      </c>
      <c r="F131">
        <v>2017</v>
      </c>
      <c r="G131" s="12" t="s">
        <v>700</v>
      </c>
      <c r="H131" t="s">
        <v>476</v>
      </c>
      <c r="I131">
        <v>52.4823</v>
      </c>
      <c r="J131">
        <v>1.89</v>
      </c>
      <c r="K131">
        <v>15</v>
      </c>
      <c r="L131" t="s">
        <v>357</v>
      </c>
      <c r="M131" t="str">
        <f t="shared" si="8"/>
        <v>Group C</v>
      </c>
      <c r="N131" t="s">
        <v>182</v>
      </c>
      <c r="O131" t="s">
        <v>183</v>
      </c>
      <c r="P131" t="s">
        <v>277</v>
      </c>
      <c r="Q131" t="s">
        <v>278</v>
      </c>
      <c r="R131" t="s">
        <v>277</v>
      </c>
      <c r="S131" t="s">
        <v>279</v>
      </c>
      <c r="T131" t="s">
        <v>280</v>
      </c>
      <c r="U131" t="s">
        <v>75</v>
      </c>
      <c r="V131" s="1" t="s">
        <v>172</v>
      </c>
      <c r="W131" s="1" t="s">
        <v>239</v>
      </c>
      <c r="X131" s="1" t="s">
        <v>172</v>
      </c>
      <c r="Y131" s="1" t="s">
        <v>172</v>
      </c>
      <c r="Z131" s="1" t="s">
        <v>173</v>
      </c>
      <c r="AA131" s="13">
        <v>26</v>
      </c>
      <c r="AB131" s="13" t="s">
        <v>79</v>
      </c>
      <c r="AC131" s="13" t="s">
        <v>80</v>
      </c>
      <c r="AD131" s="3">
        <v>69</v>
      </c>
      <c r="AE131" s="3">
        <v>10</v>
      </c>
      <c r="AF131" s="3">
        <v>10.6</v>
      </c>
      <c r="AG131" s="4">
        <v>23</v>
      </c>
      <c r="AH131" s="3">
        <v>7</v>
      </c>
      <c r="AI131" s="3">
        <v>9.3</v>
      </c>
      <c r="AJ131" s="5" t="s">
        <v>81</v>
      </c>
      <c r="AK131" s="14">
        <v>2.59</v>
      </c>
      <c r="AL131" s="14">
        <v>10</v>
      </c>
      <c r="AM131" s="14">
        <v>0.39</v>
      </c>
      <c r="AN131" s="14">
        <v>1.39</v>
      </c>
      <c r="AO131" s="14">
        <v>7</v>
      </c>
      <c r="AP131" s="14">
        <v>0.54</v>
      </c>
      <c r="BH131" s="9" t="s">
        <v>82</v>
      </c>
      <c r="BI131" s="9" t="s">
        <v>82</v>
      </c>
      <c r="BJ131" s="10" t="str">
        <f t="shared" si="7"/>
        <v>temperate</v>
      </c>
      <c r="BK131" s="11" t="s">
        <v>83</v>
      </c>
    </row>
    <row r="132" spans="1:63">
      <c r="A132">
        <v>130</v>
      </c>
      <c r="B132" t="s">
        <v>696</v>
      </c>
      <c r="C132" t="s">
        <v>697</v>
      </c>
      <c r="D132" t="s">
        <v>698</v>
      </c>
      <c r="E132" t="s">
        <v>699</v>
      </c>
      <c r="F132">
        <v>2017</v>
      </c>
      <c r="G132" s="12" t="s">
        <v>700</v>
      </c>
      <c r="H132" t="s">
        <v>476</v>
      </c>
      <c r="I132">
        <v>52.4823</v>
      </c>
      <c r="J132">
        <v>1.89</v>
      </c>
      <c r="K132">
        <v>15</v>
      </c>
      <c r="L132" t="s">
        <v>357</v>
      </c>
      <c r="M132" t="str">
        <f t="shared" si="8"/>
        <v>Group C</v>
      </c>
      <c r="N132" t="s">
        <v>182</v>
      </c>
      <c r="O132" t="s">
        <v>183</v>
      </c>
      <c r="P132" t="s">
        <v>277</v>
      </c>
      <c r="Q132" t="s">
        <v>278</v>
      </c>
      <c r="R132" t="s">
        <v>277</v>
      </c>
      <c r="S132" t="s">
        <v>279</v>
      </c>
      <c r="T132" t="s">
        <v>280</v>
      </c>
      <c r="U132" t="s">
        <v>191</v>
      </c>
      <c r="V132" s="1" t="s">
        <v>220</v>
      </c>
      <c r="X132" s="1" t="s">
        <v>191</v>
      </c>
      <c r="Y132" s="1" t="s">
        <v>191</v>
      </c>
      <c r="Z132" s="1" t="s">
        <v>191</v>
      </c>
      <c r="AA132" s="13">
        <v>26</v>
      </c>
      <c r="AB132" s="13" t="s">
        <v>79</v>
      </c>
      <c r="AC132" s="13" t="s">
        <v>80</v>
      </c>
      <c r="AD132" s="3">
        <v>11.8</v>
      </c>
      <c r="AE132" s="3">
        <v>10</v>
      </c>
      <c r="AF132" s="3">
        <v>4.1</v>
      </c>
      <c r="AG132" s="4">
        <v>1.7</v>
      </c>
      <c r="AH132" s="3">
        <v>7</v>
      </c>
      <c r="AI132" s="3">
        <v>1.7</v>
      </c>
      <c r="BH132" s="9" t="s">
        <v>82</v>
      </c>
      <c r="BI132" s="9" t="s">
        <v>82</v>
      </c>
      <c r="BJ132" s="10" t="str">
        <f t="shared" si="7"/>
        <v>temperate</v>
      </c>
      <c r="BK132" s="11" t="s">
        <v>83</v>
      </c>
    </row>
    <row r="133" ht="36" customHeight="1" spans="1:63">
      <c r="A133">
        <v>131</v>
      </c>
      <c r="B133" t="s">
        <v>701</v>
      </c>
      <c r="C133" t="s">
        <v>702</v>
      </c>
      <c r="D133" t="s">
        <v>703</v>
      </c>
      <c r="E133" t="s">
        <v>704</v>
      </c>
      <c r="F133">
        <v>2017</v>
      </c>
      <c r="G133" s="12" t="s">
        <v>705</v>
      </c>
      <c r="H133" t="s">
        <v>276</v>
      </c>
      <c r="I133">
        <v>30.3819</v>
      </c>
      <c r="J133">
        <v>-87.4356</v>
      </c>
      <c r="K133">
        <v>14</v>
      </c>
      <c r="L133" t="s">
        <v>89</v>
      </c>
      <c r="M133" t="str">
        <f t="shared" si="8"/>
        <v>Group C</v>
      </c>
      <c r="N133" t="s">
        <v>182</v>
      </c>
      <c r="O133" t="s">
        <v>183</v>
      </c>
      <c r="P133" t="s">
        <v>706</v>
      </c>
      <c r="Q133" t="s">
        <v>267</v>
      </c>
      <c r="R133" t="s">
        <v>268</v>
      </c>
      <c r="S133" t="s">
        <v>524</v>
      </c>
      <c r="T133" t="s">
        <v>116</v>
      </c>
      <c r="U133" t="s">
        <v>75</v>
      </c>
      <c r="V133" s="1" t="s">
        <v>117</v>
      </c>
      <c r="X133" s="1" t="s">
        <v>117</v>
      </c>
      <c r="Y133" s="1" t="s">
        <v>117</v>
      </c>
      <c r="Z133" s="1" t="s">
        <v>118</v>
      </c>
      <c r="AA133" s="13">
        <v>18.5</v>
      </c>
      <c r="AB133" s="13" t="s">
        <v>79</v>
      </c>
      <c r="AC133" s="13" t="s">
        <v>80</v>
      </c>
      <c r="AD133" s="3">
        <v>6.2</v>
      </c>
      <c r="AE133" s="3">
        <v>3</v>
      </c>
      <c r="AF133" s="3">
        <v>0.2</v>
      </c>
      <c r="AG133" s="4">
        <v>5.6</v>
      </c>
      <c r="AH133" s="3">
        <v>3</v>
      </c>
      <c r="AI133" s="3">
        <v>0.3</v>
      </c>
      <c r="AJ133" s="5" t="s">
        <v>81</v>
      </c>
      <c r="AK133" s="14">
        <v>0.78</v>
      </c>
      <c r="AL133" s="14">
        <v>3</v>
      </c>
      <c r="AM133" s="14">
        <v>0.11</v>
      </c>
      <c r="AN133" s="14">
        <v>1.14</v>
      </c>
      <c r="AO133" s="14">
        <v>3</v>
      </c>
      <c r="AP133" s="14">
        <v>0.11</v>
      </c>
      <c r="BH133" s="9" t="s">
        <v>626</v>
      </c>
      <c r="BI133" s="9" t="s">
        <v>126</v>
      </c>
      <c r="BJ133" s="10" t="str">
        <f t="shared" si="7"/>
        <v>subtropic</v>
      </c>
      <c r="BK133" s="11" t="s">
        <v>164</v>
      </c>
    </row>
    <row r="134" ht="42.75" spans="1:63">
      <c r="A134">
        <v>132</v>
      </c>
      <c r="B134" t="s">
        <v>707</v>
      </c>
      <c r="C134" t="s">
        <v>708</v>
      </c>
      <c r="D134" t="s">
        <v>709</v>
      </c>
      <c r="E134" t="s">
        <v>710</v>
      </c>
      <c r="F134">
        <v>2016</v>
      </c>
      <c r="G134" s="12" t="s">
        <v>711</v>
      </c>
      <c r="H134" t="s">
        <v>276</v>
      </c>
      <c r="I134">
        <v>33.814</v>
      </c>
      <c r="J134">
        <v>-83.306</v>
      </c>
      <c r="K134">
        <v>14</v>
      </c>
      <c r="L134" t="s">
        <v>89</v>
      </c>
      <c r="M134" t="str">
        <f t="shared" si="8"/>
        <v>Group C</v>
      </c>
      <c r="N134" t="s">
        <v>182</v>
      </c>
      <c r="O134" t="s">
        <v>183</v>
      </c>
      <c r="P134" t="s">
        <v>72</v>
      </c>
      <c r="Q134" t="s">
        <v>72</v>
      </c>
      <c r="R134" t="s">
        <v>72</v>
      </c>
      <c r="S134" t="s">
        <v>73</v>
      </c>
      <c r="T134" t="s">
        <v>74</v>
      </c>
      <c r="U134" t="s">
        <v>75</v>
      </c>
      <c r="V134" s="1" t="s">
        <v>172</v>
      </c>
      <c r="X134" s="1" t="s">
        <v>172</v>
      </c>
      <c r="Y134" s="1" t="s">
        <v>172</v>
      </c>
      <c r="Z134" s="1" t="s">
        <v>173</v>
      </c>
      <c r="AA134" s="13">
        <v>22.4</v>
      </c>
      <c r="AB134" s="13" t="s">
        <v>79</v>
      </c>
      <c r="AC134" s="13" t="s">
        <v>80</v>
      </c>
      <c r="AD134" s="3">
        <v>27.333</v>
      </c>
      <c r="AE134" s="3">
        <v>3</v>
      </c>
      <c r="AF134" s="3">
        <v>2.055</v>
      </c>
      <c r="AG134" s="4">
        <v>16.333</v>
      </c>
      <c r="AH134" s="3">
        <v>3</v>
      </c>
      <c r="AI134" s="3">
        <v>1.247</v>
      </c>
      <c r="BH134" s="9" t="s">
        <v>82</v>
      </c>
      <c r="BI134" s="9" t="s">
        <v>82</v>
      </c>
      <c r="BJ134" s="10" t="str">
        <f t="shared" si="7"/>
        <v>subtropic</v>
      </c>
      <c r="BK134" s="11" t="s">
        <v>127</v>
      </c>
    </row>
    <row r="135" ht="42.75" spans="1:63">
      <c r="A135">
        <v>133</v>
      </c>
      <c r="B135" t="s">
        <v>712</v>
      </c>
      <c r="C135" t="s">
        <v>713</v>
      </c>
      <c r="D135" t="s">
        <v>714</v>
      </c>
      <c r="E135" t="s">
        <v>715</v>
      </c>
      <c r="F135">
        <v>2016</v>
      </c>
      <c r="G135" s="12" t="s">
        <v>716</v>
      </c>
      <c r="H135" t="s">
        <v>511</v>
      </c>
      <c r="I135">
        <v>18.248</v>
      </c>
      <c r="J135">
        <v>-66.1393</v>
      </c>
      <c r="K135">
        <v>1</v>
      </c>
      <c r="L135" t="s">
        <v>512</v>
      </c>
      <c r="M135" t="str">
        <f t="shared" si="8"/>
        <v>Group A</v>
      </c>
      <c r="N135" t="s">
        <v>182</v>
      </c>
      <c r="O135" t="s">
        <v>146</v>
      </c>
      <c r="P135" t="s">
        <v>72</v>
      </c>
      <c r="Q135" t="s">
        <v>72</v>
      </c>
      <c r="R135" t="s">
        <v>72</v>
      </c>
      <c r="S135" t="s">
        <v>73</v>
      </c>
      <c r="T135" t="s">
        <v>74</v>
      </c>
      <c r="U135" t="s">
        <v>75</v>
      </c>
      <c r="V135" s="1" t="s">
        <v>717</v>
      </c>
      <c r="W135" s="1" t="s">
        <v>77</v>
      </c>
      <c r="X135" s="1" t="s">
        <v>172</v>
      </c>
      <c r="Y135" s="1" t="s">
        <v>172</v>
      </c>
      <c r="Z135" s="1" t="s">
        <v>173</v>
      </c>
      <c r="AA135" s="13">
        <v>16.3</v>
      </c>
      <c r="AB135" s="13" t="s">
        <v>79</v>
      </c>
      <c r="AC135" s="13" t="s">
        <v>80</v>
      </c>
      <c r="AD135" s="3">
        <v>5.458</v>
      </c>
      <c r="AE135" s="3">
        <v>9</v>
      </c>
      <c r="AF135" s="3">
        <v>2.106</v>
      </c>
      <c r="AG135" s="4">
        <v>1.667</v>
      </c>
      <c r="AH135" s="3">
        <v>9</v>
      </c>
      <c r="AI135" s="3">
        <v>1.685</v>
      </c>
      <c r="AJ135" s="5" t="s">
        <v>81</v>
      </c>
      <c r="AK135" s="14">
        <v>1.244</v>
      </c>
      <c r="AL135" s="14">
        <v>9</v>
      </c>
      <c r="AM135" s="14">
        <v>0.282</v>
      </c>
      <c r="AN135" s="19">
        <v>0.31</v>
      </c>
      <c r="AO135" s="14">
        <v>9</v>
      </c>
      <c r="AP135" s="14">
        <v>0.304</v>
      </c>
      <c r="BE135" s="8" t="s">
        <v>718</v>
      </c>
      <c r="BH135" s="9" t="s">
        <v>515</v>
      </c>
      <c r="BI135" s="9" t="s">
        <v>126</v>
      </c>
      <c r="BJ135" s="10" t="str">
        <f t="shared" si="7"/>
        <v>tropic</v>
      </c>
      <c r="BK135" s="11" t="s">
        <v>127</v>
      </c>
    </row>
    <row r="136" ht="42.75" spans="1:63">
      <c r="A136">
        <v>134</v>
      </c>
      <c r="B136" t="s">
        <v>712</v>
      </c>
      <c r="C136" t="s">
        <v>713</v>
      </c>
      <c r="D136" t="s">
        <v>714</v>
      </c>
      <c r="E136" t="s">
        <v>715</v>
      </c>
      <c r="F136">
        <v>2016</v>
      </c>
      <c r="G136" s="12" t="s">
        <v>716</v>
      </c>
      <c r="H136" t="s">
        <v>511</v>
      </c>
      <c r="I136">
        <v>18.248</v>
      </c>
      <c r="J136">
        <v>-66.1393</v>
      </c>
      <c r="K136">
        <v>1</v>
      </c>
      <c r="L136" t="s">
        <v>512</v>
      </c>
      <c r="M136" t="str">
        <f t="shared" si="8"/>
        <v>Group A</v>
      </c>
      <c r="N136" t="s">
        <v>182</v>
      </c>
      <c r="O136" t="s">
        <v>146</v>
      </c>
      <c r="P136" t="s">
        <v>72</v>
      </c>
      <c r="Q136" t="s">
        <v>72</v>
      </c>
      <c r="R136" t="s">
        <v>72</v>
      </c>
      <c r="S136" t="s">
        <v>73</v>
      </c>
      <c r="T136" t="s">
        <v>74</v>
      </c>
      <c r="U136" t="s">
        <v>75</v>
      </c>
      <c r="V136" s="1" t="s">
        <v>717</v>
      </c>
      <c r="W136" s="1" t="s">
        <v>77</v>
      </c>
      <c r="X136" s="1" t="s">
        <v>172</v>
      </c>
      <c r="Y136" s="1" t="s">
        <v>172</v>
      </c>
      <c r="Z136" s="1" t="s">
        <v>173</v>
      </c>
      <c r="AA136" s="13">
        <v>16.3</v>
      </c>
      <c r="AB136" s="13" t="s">
        <v>79</v>
      </c>
      <c r="AC136" s="13" t="s">
        <v>80</v>
      </c>
      <c r="AD136" s="3">
        <v>6.114</v>
      </c>
      <c r="AE136" s="3">
        <v>9</v>
      </c>
      <c r="AF136" s="3">
        <v>0.933</v>
      </c>
      <c r="AG136" s="4">
        <v>1.224</v>
      </c>
      <c r="AH136" s="3">
        <v>9</v>
      </c>
      <c r="AI136" s="3">
        <v>1.197</v>
      </c>
      <c r="AJ136" s="5" t="s">
        <v>81</v>
      </c>
      <c r="AK136" s="14">
        <v>1.292</v>
      </c>
      <c r="AL136" s="14">
        <v>9</v>
      </c>
      <c r="AM136" s="14">
        <v>0.102</v>
      </c>
      <c r="AN136" s="19">
        <v>0.089</v>
      </c>
      <c r="AO136" s="14">
        <v>9</v>
      </c>
      <c r="AP136" s="14">
        <v>0.096</v>
      </c>
      <c r="BE136" s="8" t="s">
        <v>719</v>
      </c>
      <c r="BH136" s="9" t="s">
        <v>515</v>
      </c>
      <c r="BI136" s="9" t="s">
        <v>126</v>
      </c>
      <c r="BJ136" s="10" t="str">
        <f t="shared" si="7"/>
        <v>tropic</v>
      </c>
      <c r="BK136" s="11" t="s">
        <v>127</v>
      </c>
    </row>
    <row r="137" ht="28.5" spans="1:63">
      <c r="A137">
        <v>135</v>
      </c>
      <c r="B137" t="s">
        <v>720</v>
      </c>
      <c r="C137" t="s">
        <v>721</v>
      </c>
      <c r="D137" t="s">
        <v>722</v>
      </c>
      <c r="E137" t="s">
        <v>723</v>
      </c>
      <c r="F137">
        <v>2016</v>
      </c>
      <c r="G137" s="12" t="s">
        <v>724</v>
      </c>
      <c r="H137" t="s">
        <v>145</v>
      </c>
      <c r="I137">
        <v>-8.0667</v>
      </c>
      <c r="J137">
        <v>-35.4833</v>
      </c>
      <c r="K137">
        <v>3</v>
      </c>
      <c r="L137" t="s">
        <v>388</v>
      </c>
      <c r="M137" t="str">
        <f t="shared" si="8"/>
        <v>Group A</v>
      </c>
      <c r="N137" t="s">
        <v>70</v>
      </c>
      <c r="O137" t="s">
        <v>146</v>
      </c>
      <c r="P137" t="s">
        <v>72</v>
      </c>
      <c r="Q137" t="s">
        <v>72</v>
      </c>
      <c r="R137" t="s">
        <v>72</v>
      </c>
      <c r="S137" t="s">
        <v>73</v>
      </c>
      <c r="T137" t="s">
        <v>74</v>
      </c>
      <c r="U137" t="s">
        <v>191</v>
      </c>
      <c r="V137" s="1" t="s">
        <v>220</v>
      </c>
      <c r="W137" s="1" t="s">
        <v>77</v>
      </c>
      <c r="X137" s="1" t="s">
        <v>191</v>
      </c>
      <c r="Y137" s="1" t="s">
        <v>191</v>
      </c>
      <c r="Z137" s="1" t="s">
        <v>191</v>
      </c>
      <c r="AA137" s="13">
        <v>15.4</v>
      </c>
      <c r="AB137" s="13" t="s">
        <v>79</v>
      </c>
      <c r="AC137" s="13" t="s">
        <v>80</v>
      </c>
      <c r="AJ137" s="5" t="s">
        <v>81</v>
      </c>
      <c r="AK137" s="14">
        <v>0.59</v>
      </c>
      <c r="AL137" s="14">
        <v>4</v>
      </c>
      <c r="AM137" s="14">
        <v>0.638</v>
      </c>
      <c r="AN137" s="14">
        <v>0.58</v>
      </c>
      <c r="AO137" s="14">
        <v>4</v>
      </c>
      <c r="AP137" s="14">
        <v>0.372</v>
      </c>
      <c r="BH137" s="9" t="s">
        <v>153</v>
      </c>
      <c r="BI137" s="9" t="s">
        <v>126</v>
      </c>
      <c r="BJ137" s="10" t="str">
        <f t="shared" si="7"/>
        <v>tropic</v>
      </c>
      <c r="BK137" s="11" t="s">
        <v>137</v>
      </c>
    </row>
    <row r="138" ht="42.75" spans="1:63">
      <c r="A138">
        <v>136</v>
      </c>
      <c r="B138" t="s">
        <v>725</v>
      </c>
      <c r="C138" t="s">
        <v>726</v>
      </c>
      <c r="D138" t="s">
        <v>727</v>
      </c>
      <c r="E138" t="s">
        <v>728</v>
      </c>
      <c r="F138">
        <v>2016</v>
      </c>
      <c r="G138" s="12" t="s">
        <v>729</v>
      </c>
      <c r="H138" t="s">
        <v>356</v>
      </c>
      <c r="I138">
        <v>-33.7223</v>
      </c>
      <c r="J138">
        <v>151.2984</v>
      </c>
      <c r="K138">
        <v>14</v>
      </c>
      <c r="L138" t="s">
        <v>89</v>
      </c>
      <c r="M138" t="str">
        <f t="shared" si="8"/>
        <v>Group C</v>
      </c>
      <c r="N138" t="s">
        <v>182</v>
      </c>
      <c r="O138" t="s">
        <v>358</v>
      </c>
      <c r="P138" t="s">
        <v>257</v>
      </c>
      <c r="Q138" t="s">
        <v>113</v>
      </c>
      <c r="R138" t="s">
        <v>257</v>
      </c>
      <c r="S138" t="s">
        <v>258</v>
      </c>
      <c r="T138" t="s">
        <v>116</v>
      </c>
      <c r="U138" t="s">
        <v>75</v>
      </c>
      <c r="V138" s="1" t="s">
        <v>730</v>
      </c>
      <c r="X138" s="1" t="s">
        <v>172</v>
      </c>
      <c r="Y138" s="1" t="s">
        <v>286</v>
      </c>
      <c r="Z138" s="1" t="s">
        <v>287</v>
      </c>
      <c r="AA138" s="13">
        <v>173</v>
      </c>
      <c r="AB138" s="13" t="s">
        <v>174</v>
      </c>
      <c r="AC138" s="13" t="s">
        <v>94</v>
      </c>
      <c r="AD138" s="3">
        <v>4.352</v>
      </c>
      <c r="AE138" s="3">
        <v>3</v>
      </c>
      <c r="AF138" s="3">
        <v>1.42</v>
      </c>
      <c r="AG138" s="4">
        <v>2.371</v>
      </c>
      <c r="AH138" s="3">
        <v>3</v>
      </c>
      <c r="AI138" s="3">
        <v>1.382</v>
      </c>
      <c r="BF138" s="1" t="s">
        <v>731</v>
      </c>
      <c r="BH138" s="9" t="s">
        <v>82</v>
      </c>
      <c r="BI138" s="9" t="s">
        <v>82</v>
      </c>
      <c r="BJ138" s="10" t="str">
        <f t="shared" si="7"/>
        <v>subtropic</v>
      </c>
      <c r="BK138" s="11" t="s">
        <v>164</v>
      </c>
    </row>
    <row r="139" ht="42.75" spans="1:63">
      <c r="A139">
        <v>137</v>
      </c>
      <c r="B139" t="s">
        <v>725</v>
      </c>
      <c r="C139" t="s">
        <v>726</v>
      </c>
      <c r="D139" t="s">
        <v>732</v>
      </c>
      <c r="E139" t="s">
        <v>728</v>
      </c>
      <c r="F139">
        <v>2016</v>
      </c>
      <c r="G139" s="12" t="s">
        <v>729</v>
      </c>
      <c r="H139" t="s">
        <v>356</v>
      </c>
      <c r="I139">
        <v>-33.7223</v>
      </c>
      <c r="J139">
        <v>151.2984</v>
      </c>
      <c r="K139">
        <v>14</v>
      </c>
      <c r="L139" t="s">
        <v>89</v>
      </c>
      <c r="M139" t="str">
        <f t="shared" si="8"/>
        <v>Group C</v>
      </c>
      <c r="N139" t="s">
        <v>182</v>
      </c>
      <c r="O139" t="s">
        <v>358</v>
      </c>
      <c r="P139" t="s">
        <v>257</v>
      </c>
      <c r="Q139" t="s">
        <v>113</v>
      </c>
      <c r="R139" t="s">
        <v>257</v>
      </c>
      <c r="S139" t="s">
        <v>258</v>
      </c>
      <c r="T139" t="s">
        <v>116</v>
      </c>
      <c r="U139" t="s">
        <v>75</v>
      </c>
      <c r="V139" s="1" t="s">
        <v>730</v>
      </c>
      <c r="X139" s="1" t="s">
        <v>172</v>
      </c>
      <c r="Y139" s="1" t="s">
        <v>286</v>
      </c>
      <c r="Z139" s="1" t="s">
        <v>287</v>
      </c>
      <c r="AA139" s="13">
        <v>173</v>
      </c>
      <c r="AB139" s="13" t="s">
        <v>174</v>
      </c>
      <c r="AC139" s="13" t="s">
        <v>94</v>
      </c>
      <c r="AD139" s="3">
        <v>2.366</v>
      </c>
      <c r="AE139" s="3">
        <v>3</v>
      </c>
      <c r="AF139" s="3">
        <v>0.872</v>
      </c>
      <c r="AG139" s="4">
        <v>1.667</v>
      </c>
      <c r="AH139" s="3">
        <v>3</v>
      </c>
      <c r="AI139" s="3">
        <v>0.921</v>
      </c>
      <c r="BF139" s="1" t="s">
        <v>733</v>
      </c>
      <c r="BH139" s="9" t="s">
        <v>82</v>
      </c>
      <c r="BI139" s="9" t="s">
        <v>82</v>
      </c>
      <c r="BJ139" s="10" t="str">
        <f t="shared" si="7"/>
        <v>subtropic</v>
      </c>
      <c r="BK139" s="11" t="s">
        <v>164</v>
      </c>
    </row>
    <row r="140" ht="42.75" spans="1:63">
      <c r="A140">
        <v>138</v>
      </c>
      <c r="B140" t="s">
        <v>725</v>
      </c>
      <c r="C140" t="s">
        <v>726</v>
      </c>
      <c r="D140" t="s">
        <v>734</v>
      </c>
      <c r="E140" t="s">
        <v>728</v>
      </c>
      <c r="F140">
        <v>2016</v>
      </c>
      <c r="G140" s="12" t="s">
        <v>729</v>
      </c>
      <c r="H140" t="s">
        <v>356</v>
      </c>
      <c r="I140">
        <v>-33.7223</v>
      </c>
      <c r="J140">
        <v>151.2984</v>
      </c>
      <c r="K140">
        <v>14</v>
      </c>
      <c r="L140" t="s">
        <v>89</v>
      </c>
      <c r="M140" t="str">
        <f t="shared" si="8"/>
        <v>Group C</v>
      </c>
      <c r="N140" t="s">
        <v>182</v>
      </c>
      <c r="O140" t="s">
        <v>358</v>
      </c>
      <c r="P140" t="s">
        <v>257</v>
      </c>
      <c r="Q140" t="s">
        <v>113</v>
      </c>
      <c r="R140" t="s">
        <v>257</v>
      </c>
      <c r="S140" t="s">
        <v>258</v>
      </c>
      <c r="T140" t="s">
        <v>116</v>
      </c>
      <c r="U140" t="s">
        <v>75</v>
      </c>
      <c r="V140" s="1" t="s">
        <v>730</v>
      </c>
      <c r="X140" s="1" t="s">
        <v>172</v>
      </c>
      <c r="Y140" s="1" t="s">
        <v>286</v>
      </c>
      <c r="Z140" s="1" t="s">
        <v>287</v>
      </c>
      <c r="AA140" s="13">
        <v>173</v>
      </c>
      <c r="AB140" s="13" t="s">
        <v>174</v>
      </c>
      <c r="AC140" s="13" t="s">
        <v>94</v>
      </c>
      <c r="AD140" s="3">
        <v>1.651</v>
      </c>
      <c r="AE140" s="3">
        <v>3</v>
      </c>
      <c r="AF140" s="3">
        <v>1.234</v>
      </c>
      <c r="AG140" s="4">
        <v>1.004</v>
      </c>
      <c r="AH140" s="3">
        <v>3</v>
      </c>
      <c r="AI140" s="3">
        <v>0.588</v>
      </c>
      <c r="BF140" s="1" t="s">
        <v>735</v>
      </c>
      <c r="BH140" s="9" t="s">
        <v>82</v>
      </c>
      <c r="BI140" s="9" t="s">
        <v>82</v>
      </c>
      <c r="BJ140" s="10" t="str">
        <f t="shared" si="7"/>
        <v>subtropic</v>
      </c>
      <c r="BK140" s="11" t="s">
        <v>164</v>
      </c>
    </row>
    <row r="141" ht="57" spans="1:63">
      <c r="A141">
        <v>139</v>
      </c>
      <c r="B141" t="s">
        <v>736</v>
      </c>
      <c r="C141" t="s">
        <v>737</v>
      </c>
      <c r="D141" t="s">
        <v>738</v>
      </c>
      <c r="E141" t="s">
        <v>739</v>
      </c>
      <c r="F141">
        <v>2016</v>
      </c>
      <c r="G141" s="12" t="s">
        <v>740</v>
      </c>
      <c r="H141" t="s">
        <v>68</v>
      </c>
      <c r="I141">
        <v>39.9042</v>
      </c>
      <c r="J141">
        <v>116.4074</v>
      </c>
      <c r="K141">
        <v>21</v>
      </c>
      <c r="L141" t="s">
        <v>69</v>
      </c>
      <c r="M141" t="str">
        <f t="shared" si="8"/>
        <v>Group D</v>
      </c>
      <c r="N141" t="s">
        <v>70</v>
      </c>
      <c r="O141" t="s">
        <v>71</v>
      </c>
      <c r="P141" t="s">
        <v>147</v>
      </c>
      <c r="Q141" t="s">
        <v>72</v>
      </c>
      <c r="R141" t="s">
        <v>147</v>
      </c>
      <c r="S141" t="s">
        <v>148</v>
      </c>
      <c r="T141" t="s">
        <v>74</v>
      </c>
      <c r="U141" t="s">
        <v>90</v>
      </c>
      <c r="V141" s="1" t="s">
        <v>238</v>
      </c>
      <c r="W141" s="1" t="s">
        <v>77</v>
      </c>
      <c r="X141" s="1" t="s">
        <v>240</v>
      </c>
      <c r="Y141" s="1" t="s">
        <v>241</v>
      </c>
      <c r="Z141" s="1" t="s">
        <v>241</v>
      </c>
      <c r="AA141" s="13">
        <v>66</v>
      </c>
      <c r="AB141" s="13" t="s">
        <v>119</v>
      </c>
      <c r="AC141" s="13" t="s">
        <v>80</v>
      </c>
      <c r="AD141" s="3">
        <v>50.248</v>
      </c>
      <c r="AE141" s="3">
        <v>7</v>
      </c>
      <c r="AF141" s="3">
        <v>11.696</v>
      </c>
      <c r="AG141" s="4">
        <v>33.363</v>
      </c>
      <c r="AH141" s="3">
        <v>16</v>
      </c>
      <c r="AI141" s="3">
        <v>7.143</v>
      </c>
      <c r="AJ141" s="5" t="s">
        <v>81</v>
      </c>
      <c r="AK141" s="19">
        <v>6.78</v>
      </c>
      <c r="AL141" s="14">
        <v>7</v>
      </c>
      <c r="AM141" s="14">
        <v>1.267</v>
      </c>
      <c r="AN141" s="14">
        <v>4.723</v>
      </c>
      <c r="AO141" s="14">
        <v>16</v>
      </c>
      <c r="AP141" s="14">
        <v>1.393</v>
      </c>
      <c r="BH141" s="9" t="s">
        <v>82</v>
      </c>
      <c r="BI141" s="9" t="s">
        <v>82</v>
      </c>
      <c r="BJ141" s="10" t="str">
        <f t="shared" si="7"/>
        <v>subtropic</v>
      </c>
      <c r="BK141" s="11" t="s">
        <v>164</v>
      </c>
    </row>
    <row r="142" ht="28.5" spans="1:63">
      <c r="A142">
        <v>140</v>
      </c>
      <c r="B142" t="s">
        <v>741</v>
      </c>
      <c r="C142" t="s">
        <v>742</v>
      </c>
      <c r="D142" t="s">
        <v>743</v>
      </c>
      <c r="E142" t="s">
        <v>744</v>
      </c>
      <c r="F142">
        <v>2016</v>
      </c>
      <c r="G142" s="12" t="s">
        <v>745</v>
      </c>
      <c r="H142" t="s">
        <v>208</v>
      </c>
      <c r="I142">
        <v>-28.6</v>
      </c>
      <c r="J142">
        <v>-57.8167</v>
      </c>
      <c r="K142">
        <v>14</v>
      </c>
      <c r="L142" t="s">
        <v>89</v>
      </c>
      <c r="M142" t="str">
        <f t="shared" si="8"/>
        <v>Group C</v>
      </c>
      <c r="N142" t="s">
        <v>70</v>
      </c>
      <c r="O142" t="s">
        <v>146</v>
      </c>
      <c r="P142" t="s">
        <v>268</v>
      </c>
      <c r="Q142" t="s">
        <v>267</v>
      </c>
      <c r="R142" t="s">
        <v>340</v>
      </c>
      <c r="S142" t="s">
        <v>495</v>
      </c>
      <c r="T142" t="s">
        <v>74</v>
      </c>
      <c r="U142" t="s">
        <v>75</v>
      </c>
      <c r="V142" s="1" t="s">
        <v>746</v>
      </c>
      <c r="W142" s="1" t="s">
        <v>77</v>
      </c>
      <c r="X142" s="1" t="s">
        <v>172</v>
      </c>
      <c r="Y142" s="1" t="s">
        <v>324</v>
      </c>
      <c r="Z142" s="1" t="s">
        <v>325</v>
      </c>
      <c r="AA142" s="13">
        <v>140</v>
      </c>
      <c r="AB142" s="13" t="s">
        <v>174</v>
      </c>
      <c r="AC142" s="13" t="s">
        <v>94</v>
      </c>
      <c r="AJ142" s="5" t="s">
        <v>81</v>
      </c>
      <c r="AK142" s="14">
        <v>1.364</v>
      </c>
      <c r="AL142" s="14">
        <v>3</v>
      </c>
      <c r="AM142" s="14">
        <v>0.207</v>
      </c>
      <c r="AN142" s="14">
        <v>1.294</v>
      </c>
      <c r="AO142" s="14">
        <v>3</v>
      </c>
      <c r="AP142" s="14">
        <v>0.052</v>
      </c>
      <c r="BH142" s="9" t="s">
        <v>82</v>
      </c>
      <c r="BI142" s="9" t="s">
        <v>82</v>
      </c>
      <c r="BJ142" s="10" t="str">
        <f t="shared" si="7"/>
        <v>subtropic</v>
      </c>
      <c r="BK142" s="11" t="s">
        <v>164</v>
      </c>
    </row>
    <row r="143" ht="42.75" spans="1:63">
      <c r="A143">
        <v>141</v>
      </c>
      <c r="B143" t="s">
        <v>747</v>
      </c>
      <c r="C143" t="s">
        <v>748</v>
      </c>
      <c r="D143" t="s">
        <v>749</v>
      </c>
      <c r="E143" t="s">
        <v>750</v>
      </c>
      <c r="F143">
        <v>2016</v>
      </c>
      <c r="G143" s="12" t="s">
        <v>751</v>
      </c>
      <c r="H143" t="s">
        <v>276</v>
      </c>
      <c r="I143">
        <v>47.6061</v>
      </c>
      <c r="J143">
        <v>-122.3328</v>
      </c>
      <c r="K143">
        <v>9</v>
      </c>
      <c r="L143" t="s">
        <v>171</v>
      </c>
      <c r="M143" t="str">
        <f t="shared" si="8"/>
        <v>Group C</v>
      </c>
      <c r="N143" t="s">
        <v>182</v>
      </c>
      <c r="O143" t="s">
        <v>183</v>
      </c>
      <c r="P143" t="s">
        <v>217</v>
      </c>
      <c r="Q143" t="s">
        <v>217</v>
      </c>
      <c r="R143" t="s">
        <v>218</v>
      </c>
      <c r="S143" t="s">
        <v>219</v>
      </c>
      <c r="T143" t="s">
        <v>74</v>
      </c>
      <c r="U143" t="s">
        <v>75</v>
      </c>
      <c r="V143" s="1" t="s">
        <v>333</v>
      </c>
      <c r="X143" s="1" t="s">
        <v>172</v>
      </c>
      <c r="Y143" s="1" t="s">
        <v>286</v>
      </c>
      <c r="Z143" s="1" t="s">
        <v>287</v>
      </c>
      <c r="AA143" s="13">
        <v>149</v>
      </c>
      <c r="AB143" s="13" t="s">
        <v>174</v>
      </c>
      <c r="AC143" s="13" t="s">
        <v>94</v>
      </c>
      <c r="AD143" s="3">
        <v>23.6</v>
      </c>
      <c r="AE143" s="3">
        <v>5</v>
      </c>
      <c r="AF143" s="3">
        <v>3.049</v>
      </c>
      <c r="AG143" s="4">
        <v>20.667</v>
      </c>
      <c r="AH143" s="3">
        <v>3</v>
      </c>
      <c r="AI143" s="3">
        <v>1.527</v>
      </c>
      <c r="BF143" s="1" t="s">
        <v>752</v>
      </c>
      <c r="BH143" s="9" t="s">
        <v>82</v>
      </c>
      <c r="BI143" s="9" t="s">
        <v>82</v>
      </c>
      <c r="BJ143" s="10" t="str">
        <f t="shared" si="7"/>
        <v>temperate</v>
      </c>
      <c r="BK143" s="11" t="s">
        <v>164</v>
      </c>
    </row>
    <row r="144" ht="42.75" spans="1:63">
      <c r="A144">
        <v>142</v>
      </c>
      <c r="B144" t="s">
        <v>747</v>
      </c>
      <c r="C144" t="s">
        <v>748</v>
      </c>
      <c r="D144" t="s">
        <v>753</v>
      </c>
      <c r="E144" t="s">
        <v>750</v>
      </c>
      <c r="F144">
        <v>2016</v>
      </c>
      <c r="G144" s="12" t="s">
        <v>751</v>
      </c>
      <c r="H144" t="s">
        <v>276</v>
      </c>
      <c r="I144">
        <v>47.6061</v>
      </c>
      <c r="J144">
        <v>-122.3328</v>
      </c>
      <c r="K144">
        <v>9</v>
      </c>
      <c r="L144" t="s">
        <v>171</v>
      </c>
      <c r="M144" t="str">
        <f t="shared" si="8"/>
        <v>Group C</v>
      </c>
      <c r="N144" t="s">
        <v>182</v>
      </c>
      <c r="O144" t="s">
        <v>183</v>
      </c>
      <c r="P144" t="s">
        <v>217</v>
      </c>
      <c r="Q144" t="s">
        <v>217</v>
      </c>
      <c r="R144" t="s">
        <v>218</v>
      </c>
      <c r="S144" t="s">
        <v>219</v>
      </c>
      <c r="T144" t="s">
        <v>74</v>
      </c>
      <c r="U144" t="s">
        <v>75</v>
      </c>
      <c r="V144" s="1" t="s">
        <v>333</v>
      </c>
      <c r="X144" s="1" t="s">
        <v>172</v>
      </c>
      <c r="Y144" s="1" t="s">
        <v>286</v>
      </c>
      <c r="Z144" s="1" t="s">
        <v>287</v>
      </c>
      <c r="AA144" s="13">
        <v>149</v>
      </c>
      <c r="AB144" s="13" t="s">
        <v>174</v>
      </c>
      <c r="AC144" s="13" t="s">
        <v>94</v>
      </c>
      <c r="AD144" s="3">
        <v>11</v>
      </c>
      <c r="AE144" s="3">
        <v>5</v>
      </c>
      <c r="AF144" s="3">
        <v>2.345</v>
      </c>
      <c r="AG144" s="4">
        <v>9.333</v>
      </c>
      <c r="AH144" s="3">
        <v>3</v>
      </c>
      <c r="AI144" s="3">
        <v>1.527</v>
      </c>
      <c r="BF144" s="1" t="s">
        <v>754</v>
      </c>
      <c r="BH144" s="9" t="s">
        <v>82</v>
      </c>
      <c r="BI144" s="9" t="s">
        <v>82</v>
      </c>
      <c r="BJ144" s="10" t="str">
        <f t="shared" si="7"/>
        <v>temperate</v>
      </c>
      <c r="BK144" s="11" t="s">
        <v>164</v>
      </c>
    </row>
    <row r="145" ht="42.75" spans="1:63">
      <c r="A145">
        <v>143</v>
      </c>
      <c r="B145" t="s">
        <v>755</v>
      </c>
      <c r="C145" t="s">
        <v>756</v>
      </c>
      <c r="D145" t="s">
        <v>757</v>
      </c>
      <c r="E145" t="s">
        <v>758</v>
      </c>
      <c r="F145">
        <v>2016</v>
      </c>
      <c r="G145" s="12" t="s">
        <v>759</v>
      </c>
      <c r="H145" t="s">
        <v>760</v>
      </c>
      <c r="I145">
        <v>12.3714</v>
      </c>
      <c r="J145">
        <v>-1.5197</v>
      </c>
      <c r="K145">
        <v>6</v>
      </c>
      <c r="L145" t="s">
        <v>662</v>
      </c>
      <c r="M145" t="str">
        <f t="shared" si="8"/>
        <v>Group B</v>
      </c>
      <c r="N145" t="s">
        <v>761</v>
      </c>
      <c r="O145" t="s">
        <v>445</v>
      </c>
      <c r="P145" t="s">
        <v>147</v>
      </c>
      <c r="Q145" t="s">
        <v>72</v>
      </c>
      <c r="R145" t="s">
        <v>147</v>
      </c>
      <c r="S145" t="s">
        <v>148</v>
      </c>
      <c r="T145" t="s">
        <v>74</v>
      </c>
      <c r="U145" t="s">
        <v>75</v>
      </c>
      <c r="V145" s="1" t="s">
        <v>172</v>
      </c>
      <c r="X145" s="1" t="s">
        <v>172</v>
      </c>
      <c r="Y145" s="1" t="s">
        <v>172</v>
      </c>
      <c r="Z145" s="1" t="s">
        <v>173</v>
      </c>
      <c r="AA145" s="13">
        <v>416.6</v>
      </c>
      <c r="AB145" s="13" t="s">
        <v>93</v>
      </c>
      <c r="AC145" s="13" t="s">
        <v>94</v>
      </c>
      <c r="AD145" s="3">
        <v>15.367</v>
      </c>
      <c r="AE145" s="3">
        <v>3</v>
      </c>
      <c r="AF145" s="3">
        <v>5.017</v>
      </c>
      <c r="AG145" s="4">
        <v>3.4</v>
      </c>
      <c r="AH145" s="3">
        <v>5</v>
      </c>
      <c r="AI145" s="3">
        <v>1.118</v>
      </c>
      <c r="AJ145" s="5" t="s">
        <v>81</v>
      </c>
      <c r="AK145" s="14">
        <v>1.613</v>
      </c>
      <c r="AL145" s="14">
        <v>3</v>
      </c>
      <c r="AM145" s="14">
        <v>0.211</v>
      </c>
      <c r="AN145" s="14">
        <v>0.8</v>
      </c>
      <c r="AO145" s="14">
        <v>5</v>
      </c>
      <c r="AP145" s="14">
        <v>0.224</v>
      </c>
      <c r="BH145" s="9" t="s">
        <v>82</v>
      </c>
      <c r="BI145" s="9" t="s">
        <v>82</v>
      </c>
      <c r="BJ145" s="10" t="str">
        <f t="shared" si="7"/>
        <v>tropic</v>
      </c>
      <c r="BK145" s="11" t="s">
        <v>164</v>
      </c>
    </row>
    <row r="146" ht="42.75" spans="1:63">
      <c r="A146">
        <v>144</v>
      </c>
      <c r="B146" t="s">
        <v>762</v>
      </c>
      <c r="C146" t="s">
        <v>763</v>
      </c>
      <c r="D146" t="s">
        <v>764</v>
      </c>
      <c r="E146" t="s">
        <v>765</v>
      </c>
      <c r="F146">
        <v>2016</v>
      </c>
      <c r="G146" s="12" t="s">
        <v>766</v>
      </c>
      <c r="H146" t="s">
        <v>145</v>
      </c>
      <c r="I146">
        <v>-24.7258</v>
      </c>
      <c r="J146">
        <v>-53.72</v>
      </c>
      <c r="K146">
        <v>14</v>
      </c>
      <c r="L146" t="s">
        <v>89</v>
      </c>
      <c r="M146" t="str">
        <f t="shared" si="8"/>
        <v>Group C</v>
      </c>
      <c r="N146" t="s">
        <v>70</v>
      </c>
      <c r="O146" t="s">
        <v>146</v>
      </c>
      <c r="P146" t="s">
        <v>147</v>
      </c>
      <c r="Q146" t="s">
        <v>72</v>
      </c>
      <c r="R146" t="s">
        <v>147</v>
      </c>
      <c r="S146" t="s">
        <v>148</v>
      </c>
      <c r="T146" t="s">
        <v>74</v>
      </c>
      <c r="U146" t="s">
        <v>75</v>
      </c>
      <c r="V146" s="1" t="s">
        <v>767</v>
      </c>
      <c r="X146" s="1" t="s">
        <v>172</v>
      </c>
      <c r="Y146" s="1" t="s">
        <v>172</v>
      </c>
      <c r="Z146" s="1" t="s">
        <v>173</v>
      </c>
      <c r="AA146" s="13">
        <v>51.7</v>
      </c>
      <c r="AB146" s="13" t="s">
        <v>119</v>
      </c>
      <c r="AC146" s="13" t="s">
        <v>80</v>
      </c>
      <c r="AD146" s="20">
        <v>4.945</v>
      </c>
      <c r="AE146" s="3">
        <v>15</v>
      </c>
      <c r="AF146" s="3">
        <v>3.706</v>
      </c>
      <c r="AG146" s="4">
        <v>1.933</v>
      </c>
      <c r="AH146" s="3">
        <v>16</v>
      </c>
      <c r="AI146" s="3">
        <v>0.776</v>
      </c>
      <c r="AJ146" s="5" t="s">
        <v>81</v>
      </c>
      <c r="AK146" s="14">
        <v>0.812</v>
      </c>
      <c r="AL146" s="14">
        <v>15</v>
      </c>
      <c r="AM146" s="14">
        <v>0.592</v>
      </c>
      <c r="AN146" s="19">
        <v>0.349</v>
      </c>
      <c r="AO146" s="14">
        <v>16</v>
      </c>
      <c r="AP146" s="14">
        <v>0.268</v>
      </c>
      <c r="AQ146" s="7">
        <v>56</v>
      </c>
      <c r="AR146" s="15" t="s">
        <v>768</v>
      </c>
      <c r="AS146" s="15" t="s">
        <v>150</v>
      </c>
      <c r="AT146" s="7" t="s">
        <v>122</v>
      </c>
      <c r="AU146" s="7">
        <v>0.733556</v>
      </c>
      <c r="AV146" s="7">
        <v>496</v>
      </c>
      <c r="AW146" s="7">
        <v>0.636632</v>
      </c>
      <c r="AX146" s="7">
        <v>1.071489</v>
      </c>
      <c r="AY146" s="7">
        <v>105</v>
      </c>
      <c r="AZ146" s="7">
        <v>0.685091</v>
      </c>
      <c r="BA146" s="7">
        <v>0.986364</v>
      </c>
      <c r="BB146" s="7">
        <v>480</v>
      </c>
      <c r="BC146" s="7">
        <v>0.595708</v>
      </c>
      <c r="BD146" s="29" t="s">
        <v>98</v>
      </c>
      <c r="BG146" s="7" t="s">
        <v>479</v>
      </c>
      <c r="BH146" s="9" t="s">
        <v>153</v>
      </c>
      <c r="BI146" s="9" t="s">
        <v>126</v>
      </c>
      <c r="BJ146" s="10" t="str">
        <f t="shared" si="7"/>
        <v>subtropic</v>
      </c>
      <c r="BK146" s="11" t="s">
        <v>164</v>
      </c>
    </row>
    <row r="147" ht="42.75" spans="1:63">
      <c r="A147">
        <v>145</v>
      </c>
      <c r="B147" t="s">
        <v>769</v>
      </c>
      <c r="C147" t="s">
        <v>770</v>
      </c>
      <c r="D147" t="s">
        <v>771</v>
      </c>
      <c r="E147" t="s">
        <v>772</v>
      </c>
      <c r="F147">
        <v>2016</v>
      </c>
      <c r="G147" s="12" t="s">
        <v>773</v>
      </c>
      <c r="H147" t="s">
        <v>774</v>
      </c>
      <c r="I147">
        <v>29</v>
      </c>
      <c r="J147">
        <v>48</v>
      </c>
      <c r="K147">
        <v>4</v>
      </c>
      <c r="L147" t="s">
        <v>775</v>
      </c>
      <c r="M147" t="str">
        <f t="shared" si="8"/>
        <v>Group B</v>
      </c>
      <c r="N147" t="s">
        <v>182</v>
      </c>
      <c r="O147" t="s">
        <v>776</v>
      </c>
      <c r="P147" t="s">
        <v>523</v>
      </c>
      <c r="Q147" t="s">
        <v>113</v>
      </c>
      <c r="R147" t="s">
        <v>268</v>
      </c>
      <c r="S147" t="s">
        <v>524</v>
      </c>
      <c r="T147" t="s">
        <v>116</v>
      </c>
      <c r="U147" t="s">
        <v>191</v>
      </c>
      <c r="V147" s="1" t="s">
        <v>191</v>
      </c>
      <c r="W147" s="1" t="s">
        <v>77</v>
      </c>
      <c r="X147" s="1" t="s">
        <v>191</v>
      </c>
      <c r="Y147" s="1" t="s">
        <v>191</v>
      </c>
      <c r="Z147" s="1" t="s">
        <v>191</v>
      </c>
      <c r="AA147" s="13">
        <v>22.9</v>
      </c>
      <c r="AB147" s="13" t="s">
        <v>79</v>
      </c>
      <c r="AC147" s="13" t="s">
        <v>80</v>
      </c>
      <c r="AD147" s="3">
        <v>3.487</v>
      </c>
      <c r="AE147" s="3">
        <v>39</v>
      </c>
      <c r="AF147" s="3">
        <v>1.384</v>
      </c>
      <c r="AG147" s="4">
        <v>2.809</v>
      </c>
      <c r="AH147" s="3">
        <v>47</v>
      </c>
      <c r="AI147" s="3">
        <v>1.384</v>
      </c>
      <c r="AJ147" s="5" t="s">
        <v>81</v>
      </c>
      <c r="AK147" s="14">
        <v>0.828</v>
      </c>
      <c r="AL147" s="14">
        <v>39</v>
      </c>
      <c r="AM147" s="14">
        <v>0.638</v>
      </c>
      <c r="AN147" s="14">
        <v>0.645</v>
      </c>
      <c r="AO147" s="14">
        <v>47</v>
      </c>
      <c r="AP147" s="14">
        <v>0.372</v>
      </c>
      <c r="BF147" s="1" t="s">
        <v>777</v>
      </c>
      <c r="BH147" s="9" t="s">
        <v>82</v>
      </c>
      <c r="BI147" s="9" t="s">
        <v>82</v>
      </c>
      <c r="BJ147" s="10" t="str">
        <f t="shared" si="7"/>
        <v>subtropic</v>
      </c>
      <c r="BK147" s="11" t="s">
        <v>164</v>
      </c>
    </row>
    <row r="148" ht="42.75" spans="1:63">
      <c r="A148">
        <v>146</v>
      </c>
      <c r="B148" t="s">
        <v>778</v>
      </c>
      <c r="C148" t="s">
        <v>779</v>
      </c>
      <c r="D148" t="s">
        <v>780</v>
      </c>
      <c r="E148" t="s">
        <v>781</v>
      </c>
      <c r="F148">
        <v>2015</v>
      </c>
      <c r="G148" s="12" t="s">
        <v>782</v>
      </c>
      <c r="H148" t="s">
        <v>356</v>
      </c>
      <c r="I148">
        <v>-37.75</v>
      </c>
      <c r="J148">
        <v>144.7</v>
      </c>
      <c r="K148">
        <v>7</v>
      </c>
      <c r="L148" t="s">
        <v>494</v>
      </c>
      <c r="M148" t="str">
        <f t="shared" si="8"/>
        <v>Group B</v>
      </c>
      <c r="N148" t="s">
        <v>182</v>
      </c>
      <c r="O148" t="s">
        <v>358</v>
      </c>
      <c r="P148" t="s">
        <v>783</v>
      </c>
      <c r="Q148" t="s">
        <v>278</v>
      </c>
      <c r="R148" t="s">
        <v>340</v>
      </c>
      <c r="S148" t="s">
        <v>227</v>
      </c>
      <c r="T148" t="s">
        <v>280</v>
      </c>
      <c r="U148" t="s">
        <v>75</v>
      </c>
      <c r="V148" s="1" t="s">
        <v>172</v>
      </c>
      <c r="X148" s="1" t="s">
        <v>172</v>
      </c>
      <c r="Y148" s="1" t="s">
        <v>172</v>
      </c>
      <c r="Z148" s="1" t="s">
        <v>173</v>
      </c>
      <c r="AA148" s="13">
        <v>137</v>
      </c>
      <c r="AB148" s="13" t="s">
        <v>174</v>
      </c>
      <c r="AC148" s="13" t="s">
        <v>94</v>
      </c>
      <c r="AD148" s="3">
        <v>6</v>
      </c>
      <c r="AE148" s="3">
        <v>6</v>
      </c>
      <c r="AF148" s="3">
        <v>1.21</v>
      </c>
      <c r="AG148" s="4">
        <v>3</v>
      </c>
      <c r="AH148" s="3">
        <v>6</v>
      </c>
      <c r="AI148" s="3">
        <v>0.864</v>
      </c>
      <c r="BH148" s="9" t="s">
        <v>82</v>
      </c>
      <c r="BI148" s="9" t="s">
        <v>82</v>
      </c>
      <c r="BJ148" s="10" t="str">
        <f t="shared" si="7"/>
        <v>subtropic</v>
      </c>
      <c r="BK148" s="11" t="s">
        <v>164</v>
      </c>
    </row>
    <row r="149" ht="42.75" spans="1:63">
      <c r="A149">
        <v>147</v>
      </c>
      <c r="B149" t="s">
        <v>778</v>
      </c>
      <c r="C149" t="s">
        <v>779</v>
      </c>
      <c r="D149" t="s">
        <v>784</v>
      </c>
      <c r="E149" t="s">
        <v>781</v>
      </c>
      <c r="F149">
        <v>2015</v>
      </c>
      <c r="G149" s="12" t="s">
        <v>782</v>
      </c>
      <c r="H149" t="s">
        <v>356</v>
      </c>
      <c r="I149">
        <v>-37.75</v>
      </c>
      <c r="J149">
        <v>144.7</v>
      </c>
      <c r="K149">
        <v>7</v>
      </c>
      <c r="L149" t="s">
        <v>494</v>
      </c>
      <c r="M149" t="str">
        <f t="shared" si="8"/>
        <v>Group B</v>
      </c>
      <c r="N149" t="s">
        <v>182</v>
      </c>
      <c r="O149" t="s">
        <v>358</v>
      </c>
      <c r="P149" t="s">
        <v>783</v>
      </c>
      <c r="Q149" t="s">
        <v>278</v>
      </c>
      <c r="R149" t="s">
        <v>340</v>
      </c>
      <c r="S149" t="s">
        <v>227</v>
      </c>
      <c r="T149" t="s">
        <v>280</v>
      </c>
      <c r="U149" t="s">
        <v>75</v>
      </c>
      <c r="V149" s="1" t="s">
        <v>172</v>
      </c>
      <c r="X149" s="1" t="s">
        <v>172</v>
      </c>
      <c r="Y149" s="1" t="s">
        <v>172</v>
      </c>
      <c r="Z149" s="1" t="s">
        <v>173</v>
      </c>
      <c r="AA149" s="13">
        <v>137</v>
      </c>
      <c r="AB149" s="13" t="s">
        <v>174</v>
      </c>
      <c r="AC149" s="13" t="s">
        <v>94</v>
      </c>
      <c r="AD149" s="3">
        <v>1.835</v>
      </c>
      <c r="AE149" s="3">
        <v>6</v>
      </c>
      <c r="AF149" s="3">
        <v>1.037</v>
      </c>
      <c r="AG149" s="4">
        <v>2.871</v>
      </c>
      <c r="AH149" s="3">
        <v>6</v>
      </c>
      <c r="AI149" s="3">
        <v>1.153</v>
      </c>
      <c r="BH149" s="9" t="s">
        <v>82</v>
      </c>
      <c r="BI149" s="9" t="s">
        <v>82</v>
      </c>
      <c r="BJ149" s="10" t="str">
        <f t="shared" si="7"/>
        <v>subtropic</v>
      </c>
      <c r="BK149" s="11" t="s">
        <v>164</v>
      </c>
    </row>
    <row r="150" ht="28.5" spans="1:63">
      <c r="A150">
        <v>148</v>
      </c>
      <c r="B150" t="s">
        <v>785</v>
      </c>
      <c r="C150" t="s">
        <v>786</v>
      </c>
      <c r="D150" t="s">
        <v>787</v>
      </c>
      <c r="E150" t="s">
        <v>788</v>
      </c>
      <c r="F150">
        <v>2015</v>
      </c>
      <c r="G150" s="12" t="s">
        <v>789</v>
      </c>
      <c r="H150" t="s">
        <v>530</v>
      </c>
      <c r="I150">
        <v>60.33</v>
      </c>
      <c r="J150">
        <v>24.83</v>
      </c>
      <c r="K150">
        <v>27</v>
      </c>
      <c r="L150" t="s">
        <v>790</v>
      </c>
      <c r="M150" t="str">
        <f t="shared" si="8"/>
        <v>Group D</v>
      </c>
      <c r="N150" t="s">
        <v>182</v>
      </c>
      <c r="O150" t="s">
        <v>183</v>
      </c>
      <c r="P150" t="s">
        <v>791</v>
      </c>
      <c r="Q150" t="s">
        <v>267</v>
      </c>
      <c r="R150" t="s">
        <v>268</v>
      </c>
      <c r="S150" t="s">
        <v>269</v>
      </c>
      <c r="T150" t="s">
        <v>74</v>
      </c>
      <c r="U150" t="s">
        <v>75</v>
      </c>
      <c r="V150" s="1" t="s">
        <v>792</v>
      </c>
      <c r="X150" s="1" t="s">
        <v>172</v>
      </c>
      <c r="Y150" s="1" t="s">
        <v>324</v>
      </c>
      <c r="Z150" s="1" t="s">
        <v>325</v>
      </c>
      <c r="AA150" s="13">
        <v>100.6</v>
      </c>
      <c r="AB150" s="13" t="s">
        <v>174</v>
      </c>
      <c r="AC150" s="13" t="s">
        <v>94</v>
      </c>
      <c r="AQ150" s="7">
        <v>25</v>
      </c>
      <c r="AR150" s="15" t="s">
        <v>459</v>
      </c>
      <c r="AS150" s="15" t="s">
        <v>460</v>
      </c>
      <c r="AT150" s="7" t="s">
        <v>122</v>
      </c>
      <c r="AU150" s="7">
        <v>0.508881</v>
      </c>
      <c r="AV150" s="7">
        <v>10</v>
      </c>
      <c r="AW150" s="7">
        <v>0.194806</v>
      </c>
      <c r="AX150" s="7">
        <v>0.487795</v>
      </c>
      <c r="AY150" s="7">
        <v>45</v>
      </c>
      <c r="AZ150" s="7">
        <v>0.194568</v>
      </c>
      <c r="BA150" s="7">
        <v>0.452493</v>
      </c>
      <c r="BB150" s="7">
        <v>50</v>
      </c>
      <c r="BC150" s="7">
        <v>0.219389</v>
      </c>
      <c r="BD150" s="29" t="s">
        <v>98</v>
      </c>
      <c r="BG150" s="7" t="s">
        <v>101</v>
      </c>
      <c r="BH150" s="9" t="s">
        <v>82</v>
      </c>
      <c r="BI150" s="9" t="s">
        <v>82</v>
      </c>
      <c r="BJ150" s="10" t="str">
        <f t="shared" si="7"/>
        <v>arctic</v>
      </c>
      <c r="BK150" s="11" t="s">
        <v>137</v>
      </c>
    </row>
    <row r="151" ht="42.75" spans="1:63">
      <c r="A151">
        <v>149</v>
      </c>
      <c r="B151" t="s">
        <v>785</v>
      </c>
      <c r="C151" t="s">
        <v>786</v>
      </c>
      <c r="D151" t="s">
        <v>787</v>
      </c>
      <c r="E151" t="s">
        <v>788</v>
      </c>
      <c r="F151">
        <v>2015</v>
      </c>
      <c r="G151" s="12" t="s">
        <v>789</v>
      </c>
      <c r="H151" t="s">
        <v>530</v>
      </c>
      <c r="I151">
        <v>60.33</v>
      </c>
      <c r="J151">
        <v>24.83</v>
      </c>
      <c r="K151">
        <v>27</v>
      </c>
      <c r="L151" t="s">
        <v>790</v>
      </c>
      <c r="M151" t="str">
        <f t="shared" si="8"/>
        <v>Group D</v>
      </c>
      <c r="N151" t="s">
        <v>182</v>
      </c>
      <c r="O151" t="s">
        <v>183</v>
      </c>
      <c r="P151" t="s">
        <v>791</v>
      </c>
      <c r="Q151" t="s">
        <v>267</v>
      </c>
      <c r="R151" t="s">
        <v>268</v>
      </c>
      <c r="S151" t="s">
        <v>269</v>
      </c>
      <c r="T151" t="s">
        <v>74</v>
      </c>
      <c r="U151" t="s">
        <v>75</v>
      </c>
      <c r="V151" s="1" t="s">
        <v>270</v>
      </c>
      <c r="X151" s="1" t="s">
        <v>172</v>
      </c>
      <c r="Y151" s="1" t="s">
        <v>172</v>
      </c>
      <c r="Z151" s="1" t="s">
        <v>173</v>
      </c>
      <c r="AA151" s="13">
        <v>100.6</v>
      </c>
      <c r="AB151" s="13" t="s">
        <v>174</v>
      </c>
      <c r="AC151" s="13" t="s">
        <v>94</v>
      </c>
      <c r="AQ151" s="7">
        <v>26</v>
      </c>
      <c r="AR151" s="15" t="s">
        <v>459</v>
      </c>
      <c r="AS151" s="15" t="s">
        <v>460</v>
      </c>
      <c r="AT151" s="7" t="s">
        <v>122</v>
      </c>
      <c r="AU151" s="7">
        <v>0.350904</v>
      </c>
      <c r="AV151" s="7">
        <v>10</v>
      </c>
      <c r="AW151" s="7">
        <v>0.13847</v>
      </c>
      <c r="AX151" s="7">
        <v>0.41598</v>
      </c>
      <c r="AY151" s="7">
        <v>45</v>
      </c>
      <c r="AZ151" s="7">
        <v>0.192401</v>
      </c>
      <c r="BA151" s="7">
        <v>0.380156</v>
      </c>
      <c r="BB151" s="7">
        <v>50</v>
      </c>
      <c r="BC151" s="7">
        <v>0.171216</v>
      </c>
      <c r="BD151" s="29" t="s">
        <v>98</v>
      </c>
      <c r="BF151"/>
      <c r="BG151" s="7" t="s">
        <v>101</v>
      </c>
      <c r="BH151" s="9" t="s">
        <v>82</v>
      </c>
      <c r="BI151" s="9" t="s">
        <v>82</v>
      </c>
      <c r="BJ151" s="10" t="str">
        <f t="shared" si="7"/>
        <v>arctic</v>
      </c>
      <c r="BK151" s="11" t="s">
        <v>137</v>
      </c>
    </row>
    <row r="152" ht="42.75" spans="1:63">
      <c r="A152">
        <v>150</v>
      </c>
      <c r="B152" t="s">
        <v>793</v>
      </c>
      <c r="C152" t="s">
        <v>794</v>
      </c>
      <c r="D152" t="s">
        <v>795</v>
      </c>
      <c r="E152" t="s">
        <v>796</v>
      </c>
      <c r="F152">
        <v>2015</v>
      </c>
      <c r="G152" s="12" t="s">
        <v>797</v>
      </c>
      <c r="H152" t="s">
        <v>611</v>
      </c>
      <c r="I152">
        <v>3.16</v>
      </c>
      <c r="J152">
        <v>101.76</v>
      </c>
      <c r="K152">
        <v>1</v>
      </c>
      <c r="L152" t="s">
        <v>512</v>
      </c>
      <c r="M152" t="str">
        <f t="shared" si="8"/>
        <v>Group A</v>
      </c>
      <c r="N152" t="s">
        <v>70</v>
      </c>
      <c r="O152" t="s">
        <v>71</v>
      </c>
      <c r="P152" t="s">
        <v>147</v>
      </c>
      <c r="Q152" t="s">
        <v>72</v>
      </c>
      <c r="R152" t="s">
        <v>147</v>
      </c>
      <c r="S152" t="s">
        <v>148</v>
      </c>
      <c r="T152" t="s">
        <v>74</v>
      </c>
      <c r="U152" t="s">
        <v>75</v>
      </c>
      <c r="V152" s="1" t="s">
        <v>172</v>
      </c>
      <c r="X152" s="1" t="s">
        <v>172</v>
      </c>
      <c r="Y152" s="1" t="s">
        <v>172</v>
      </c>
      <c r="Z152" s="1" t="s">
        <v>173</v>
      </c>
      <c r="AA152" s="13">
        <v>1.4</v>
      </c>
      <c r="AB152" s="13" t="s">
        <v>192</v>
      </c>
      <c r="AC152" s="13" t="s">
        <v>80</v>
      </c>
      <c r="AD152" s="3">
        <v>9.366</v>
      </c>
      <c r="AE152" s="3">
        <v>24</v>
      </c>
      <c r="AF152" s="3">
        <v>1.525</v>
      </c>
      <c r="AG152" s="4">
        <v>2.765</v>
      </c>
      <c r="AH152" s="3">
        <v>24</v>
      </c>
      <c r="AI152" s="3">
        <v>1.501</v>
      </c>
      <c r="AQ152" s="7">
        <v>27</v>
      </c>
      <c r="AR152" s="15" t="s">
        <v>798</v>
      </c>
      <c r="AS152" s="15" t="s">
        <v>305</v>
      </c>
      <c r="AT152" s="7" t="s">
        <v>122</v>
      </c>
      <c r="AU152" s="7">
        <v>0.596021</v>
      </c>
      <c r="AV152" s="7">
        <v>10</v>
      </c>
      <c r="AW152" s="7">
        <v>0.288112</v>
      </c>
      <c r="AX152" s="7">
        <v>0.292028</v>
      </c>
      <c r="AY152" s="7">
        <v>6</v>
      </c>
      <c r="AZ152" s="7">
        <v>0.179123</v>
      </c>
      <c r="BA152" s="7">
        <v>1.250271</v>
      </c>
      <c r="BB152" s="7">
        <v>20</v>
      </c>
      <c r="BC152" s="7">
        <v>0.192624</v>
      </c>
      <c r="BD152" s="29" t="s">
        <v>98</v>
      </c>
      <c r="BH152" s="9" t="s">
        <v>297</v>
      </c>
      <c r="BI152" s="9" t="s">
        <v>126</v>
      </c>
      <c r="BJ152" s="10" t="str">
        <f t="shared" si="7"/>
        <v>tropic</v>
      </c>
      <c r="BK152" s="11" t="s">
        <v>164</v>
      </c>
    </row>
    <row r="153" ht="28.5" spans="1:63">
      <c r="A153">
        <v>151</v>
      </c>
      <c r="B153" t="s">
        <v>799</v>
      </c>
      <c r="C153" t="s">
        <v>800</v>
      </c>
      <c r="D153" t="s">
        <v>801</v>
      </c>
      <c r="E153" t="s">
        <v>802</v>
      </c>
      <c r="F153">
        <v>2015</v>
      </c>
      <c r="G153" s="12" t="s">
        <v>803</v>
      </c>
      <c r="H153" t="s">
        <v>276</v>
      </c>
      <c r="I153">
        <v>43.025</v>
      </c>
      <c r="J153">
        <v>-87.9</v>
      </c>
      <c r="K153">
        <v>25</v>
      </c>
      <c r="L153" t="s">
        <v>216</v>
      </c>
      <c r="M153" t="str">
        <f t="shared" si="8"/>
        <v>Group D</v>
      </c>
      <c r="N153" t="s">
        <v>182</v>
      </c>
      <c r="O153" t="s">
        <v>183</v>
      </c>
      <c r="P153" t="s">
        <v>562</v>
      </c>
      <c r="Q153" t="s">
        <v>113</v>
      </c>
      <c r="R153" t="s">
        <v>114</v>
      </c>
      <c r="S153" t="s">
        <v>563</v>
      </c>
      <c r="T153" t="s">
        <v>74</v>
      </c>
      <c r="U153" t="s">
        <v>90</v>
      </c>
      <c r="V153" s="1" t="s">
        <v>92</v>
      </c>
      <c r="X153" s="1" t="s">
        <v>92</v>
      </c>
      <c r="Y153" s="1" t="s">
        <v>92</v>
      </c>
      <c r="Z153" s="1" t="s">
        <v>92</v>
      </c>
      <c r="AA153" s="13">
        <v>19.6</v>
      </c>
      <c r="AB153" s="13" t="s">
        <v>79</v>
      </c>
      <c r="AC153" s="13" t="s">
        <v>80</v>
      </c>
      <c r="AD153" s="3">
        <v>185</v>
      </c>
      <c r="AE153" s="3">
        <v>14</v>
      </c>
      <c r="AF153" s="3">
        <v>25</v>
      </c>
      <c r="AG153" s="4">
        <v>432</v>
      </c>
      <c r="AH153" s="3">
        <v>24</v>
      </c>
      <c r="AI153" s="3">
        <v>104</v>
      </c>
      <c r="AQ153" s="7">
        <v>28</v>
      </c>
      <c r="AR153" s="15" t="s">
        <v>804</v>
      </c>
      <c r="AS153" s="15" t="s">
        <v>805</v>
      </c>
      <c r="AT153" s="7" t="s">
        <v>122</v>
      </c>
      <c r="AU153" s="7">
        <v>0.245997</v>
      </c>
      <c r="AV153" s="7">
        <v>276</v>
      </c>
      <c r="AW153" s="7">
        <v>0.127367</v>
      </c>
      <c r="AX153" s="7">
        <v>0.127468</v>
      </c>
      <c r="AY153" s="7">
        <v>91</v>
      </c>
      <c r="AZ153" s="7">
        <v>0.058569</v>
      </c>
      <c r="BA153" s="7">
        <v>0.461893</v>
      </c>
      <c r="BB153" s="7">
        <v>336</v>
      </c>
      <c r="BC153" s="7">
        <v>0.123594</v>
      </c>
      <c r="BD153" s="29" t="s">
        <v>98</v>
      </c>
      <c r="BG153" s="7" t="s">
        <v>101</v>
      </c>
      <c r="BH153" s="9" t="s">
        <v>82</v>
      </c>
      <c r="BI153" s="9" t="s">
        <v>82</v>
      </c>
      <c r="BJ153" s="10" t="str">
        <f t="shared" si="7"/>
        <v>temperate</v>
      </c>
      <c r="BK153" s="11" t="s">
        <v>164</v>
      </c>
    </row>
    <row r="154" ht="42.75" spans="1:63">
      <c r="A154">
        <v>152</v>
      </c>
      <c r="B154" t="s">
        <v>806</v>
      </c>
      <c r="C154" t="s">
        <v>807</v>
      </c>
      <c r="D154" t="s">
        <v>808</v>
      </c>
      <c r="E154" t="s">
        <v>809</v>
      </c>
      <c r="F154">
        <v>2015</v>
      </c>
      <c r="G154" s="12" t="s">
        <v>810</v>
      </c>
      <c r="H154" t="s">
        <v>356</v>
      </c>
      <c r="I154" s="1">
        <v>-34</v>
      </c>
      <c r="J154" s="1">
        <v>151</v>
      </c>
      <c r="K154">
        <v>14</v>
      </c>
      <c r="L154" t="s">
        <v>89</v>
      </c>
      <c r="M154" t="str">
        <f t="shared" si="8"/>
        <v>Group C</v>
      </c>
      <c r="N154" s="1" t="s">
        <v>182</v>
      </c>
      <c r="O154" t="s">
        <v>358</v>
      </c>
      <c r="P154" t="s">
        <v>562</v>
      </c>
      <c r="Q154" t="s">
        <v>113</v>
      </c>
      <c r="R154" t="s">
        <v>114</v>
      </c>
      <c r="S154" t="s">
        <v>563</v>
      </c>
      <c r="T154" t="s">
        <v>116</v>
      </c>
      <c r="U154" t="s">
        <v>75</v>
      </c>
      <c r="V154" s="1" t="s">
        <v>811</v>
      </c>
      <c r="X154" s="1" t="s">
        <v>172</v>
      </c>
      <c r="Y154" s="1" t="s">
        <v>286</v>
      </c>
      <c r="Z154" s="1" t="s">
        <v>287</v>
      </c>
      <c r="AA154" s="13">
        <v>213</v>
      </c>
      <c r="AB154" s="13" t="s">
        <v>93</v>
      </c>
      <c r="AC154" s="13" t="s">
        <v>94</v>
      </c>
      <c r="AD154" s="3">
        <v>9.851</v>
      </c>
      <c r="AE154" s="3">
        <v>42</v>
      </c>
      <c r="AF154" s="3">
        <v>2.454</v>
      </c>
      <c r="AG154" s="4">
        <v>8.681</v>
      </c>
      <c r="AH154" s="3">
        <v>42</v>
      </c>
      <c r="AI154" s="3">
        <v>3.25</v>
      </c>
      <c r="AQ154" s="7">
        <v>29</v>
      </c>
      <c r="AR154" s="15" t="s">
        <v>812</v>
      </c>
      <c r="AS154" s="15" t="s">
        <v>813</v>
      </c>
      <c r="AT154" s="7" t="s">
        <v>122</v>
      </c>
      <c r="AU154" s="7">
        <v>0.628271</v>
      </c>
      <c r="AV154" s="7">
        <v>1485</v>
      </c>
      <c r="AW154" s="7">
        <v>0.357098</v>
      </c>
      <c r="AX154" s="7">
        <v>0.681146</v>
      </c>
      <c r="AY154" s="7">
        <v>1485</v>
      </c>
      <c r="AZ154" s="7">
        <v>0.328076</v>
      </c>
      <c r="BA154" s="7">
        <v>0.799879</v>
      </c>
      <c r="BB154" s="7">
        <v>3025</v>
      </c>
      <c r="BC154" s="7">
        <v>0.355177</v>
      </c>
      <c r="BD154" s="29" t="s">
        <v>98</v>
      </c>
      <c r="BG154" s="7" t="s">
        <v>101</v>
      </c>
      <c r="BH154" s="9" t="s">
        <v>361</v>
      </c>
      <c r="BI154" s="9" t="s">
        <v>126</v>
      </c>
      <c r="BJ154" s="10" t="str">
        <f t="shared" si="7"/>
        <v>subtropic</v>
      </c>
      <c r="BK154" s="11" t="s">
        <v>164</v>
      </c>
    </row>
    <row r="155" ht="28.5" spans="1:63">
      <c r="A155">
        <v>153</v>
      </c>
      <c r="B155" t="s">
        <v>814</v>
      </c>
      <c r="C155" t="s">
        <v>815</v>
      </c>
      <c r="D155" t="s">
        <v>816</v>
      </c>
      <c r="E155" t="s">
        <v>817</v>
      </c>
      <c r="F155">
        <v>2015</v>
      </c>
      <c r="G155" s="12" t="s">
        <v>818</v>
      </c>
      <c r="H155" t="s">
        <v>276</v>
      </c>
      <c r="I155">
        <v>39.5</v>
      </c>
      <c r="J155">
        <v>-83</v>
      </c>
      <c r="K155">
        <v>25</v>
      </c>
      <c r="L155" t="s">
        <v>216</v>
      </c>
      <c r="M155" t="str">
        <f t="shared" si="8"/>
        <v>Group D</v>
      </c>
      <c r="N155" t="s">
        <v>182</v>
      </c>
      <c r="O155" t="s">
        <v>183</v>
      </c>
      <c r="P155" t="s">
        <v>359</v>
      </c>
      <c r="Q155" t="s">
        <v>267</v>
      </c>
      <c r="R155" t="s">
        <v>268</v>
      </c>
      <c r="S155" t="s">
        <v>360</v>
      </c>
      <c r="T155" t="s">
        <v>74</v>
      </c>
      <c r="U155" t="s">
        <v>75</v>
      </c>
      <c r="V155" s="1" t="s">
        <v>819</v>
      </c>
      <c r="W155" s="1" t="s">
        <v>239</v>
      </c>
      <c r="X155" s="1" t="s">
        <v>172</v>
      </c>
      <c r="Y155" s="1" t="s">
        <v>324</v>
      </c>
      <c r="Z155" s="1" t="s">
        <v>325</v>
      </c>
      <c r="AA155" s="13">
        <v>85</v>
      </c>
      <c r="AB155" s="13" t="s">
        <v>119</v>
      </c>
      <c r="AC155" s="13" t="s">
        <v>80</v>
      </c>
      <c r="AD155" s="3">
        <v>2</v>
      </c>
      <c r="AE155" s="3">
        <v>2</v>
      </c>
      <c r="AF155" s="3">
        <v>1.414</v>
      </c>
      <c r="AG155" s="4">
        <v>2.04</v>
      </c>
      <c r="AH155" s="3">
        <v>25</v>
      </c>
      <c r="AI155" s="3">
        <v>0.338</v>
      </c>
      <c r="AJ155" s="5" t="s">
        <v>81</v>
      </c>
      <c r="AK155" s="14">
        <v>0.3</v>
      </c>
      <c r="AL155" s="14">
        <v>2</v>
      </c>
      <c r="AM155" s="14">
        <v>0.424</v>
      </c>
      <c r="AN155" s="14">
        <v>0.497</v>
      </c>
      <c r="AO155" s="14">
        <v>25</v>
      </c>
      <c r="AP155" s="14">
        <v>0.401</v>
      </c>
      <c r="BH155" s="9" t="s">
        <v>82</v>
      </c>
      <c r="BI155" s="9" t="s">
        <v>82</v>
      </c>
      <c r="BJ155" s="10" t="str">
        <f t="shared" si="7"/>
        <v>subtropic</v>
      </c>
      <c r="BK155" s="11" t="s">
        <v>137</v>
      </c>
    </row>
    <row r="156" ht="28.5" spans="1:63">
      <c r="A156">
        <v>154</v>
      </c>
      <c r="B156" t="s">
        <v>820</v>
      </c>
      <c r="C156" t="s">
        <v>821</v>
      </c>
      <c r="D156" t="s">
        <v>822</v>
      </c>
      <c r="E156" t="s">
        <v>823</v>
      </c>
      <c r="F156">
        <v>2015</v>
      </c>
      <c r="G156" s="12" t="s">
        <v>824</v>
      </c>
      <c r="H156" t="s">
        <v>145</v>
      </c>
      <c r="I156">
        <v>-23.3833</v>
      </c>
      <c r="J156">
        <v>-52</v>
      </c>
      <c r="K156">
        <v>14</v>
      </c>
      <c r="L156" t="s">
        <v>89</v>
      </c>
      <c r="M156" t="str">
        <f t="shared" ref="M156:M187" si="9">"Group "&amp;LEFT(L156,1)</f>
        <v>Group C</v>
      </c>
      <c r="N156" t="s">
        <v>70</v>
      </c>
      <c r="O156" t="s">
        <v>146</v>
      </c>
      <c r="P156" t="s">
        <v>147</v>
      </c>
      <c r="Q156" t="s">
        <v>72</v>
      </c>
      <c r="R156" t="s">
        <v>147</v>
      </c>
      <c r="S156" t="s">
        <v>148</v>
      </c>
      <c r="T156" t="s">
        <v>74</v>
      </c>
      <c r="U156" t="s">
        <v>75</v>
      </c>
      <c r="V156" s="1" t="s">
        <v>423</v>
      </c>
      <c r="X156" s="1" t="s">
        <v>172</v>
      </c>
      <c r="Y156" s="1" t="s">
        <v>324</v>
      </c>
      <c r="Z156" s="1" t="s">
        <v>325</v>
      </c>
      <c r="AA156" s="13">
        <v>6.7</v>
      </c>
      <c r="AB156" s="13" t="s">
        <v>192</v>
      </c>
      <c r="AC156" s="13" t="s">
        <v>80</v>
      </c>
      <c r="AD156" s="3">
        <v>7.417</v>
      </c>
      <c r="AE156" s="3">
        <v>18</v>
      </c>
      <c r="AF156" s="3">
        <v>5.064</v>
      </c>
      <c r="AG156" s="3">
        <v>9.462</v>
      </c>
      <c r="AH156" s="3">
        <v>18</v>
      </c>
      <c r="AI156" s="3">
        <v>7.527</v>
      </c>
      <c r="AJ156" s="5" t="s">
        <v>81</v>
      </c>
      <c r="AK156" s="14">
        <v>1.579</v>
      </c>
      <c r="AL156" s="14">
        <v>18</v>
      </c>
      <c r="AM156" s="14">
        <v>0.857</v>
      </c>
      <c r="AN156" s="14">
        <v>1.526</v>
      </c>
      <c r="AO156" s="14">
        <v>18</v>
      </c>
      <c r="AP156" s="14">
        <v>0.694</v>
      </c>
      <c r="BH156" s="9" t="s">
        <v>153</v>
      </c>
      <c r="BI156" s="9" t="s">
        <v>126</v>
      </c>
      <c r="BJ156" s="10" t="str">
        <f t="shared" si="7"/>
        <v>tropic</v>
      </c>
      <c r="BK156" s="11" t="s">
        <v>137</v>
      </c>
    </row>
    <row r="157" ht="28.5" spans="1:63">
      <c r="A157">
        <v>155</v>
      </c>
      <c r="B157" t="s">
        <v>825</v>
      </c>
      <c r="C157" t="s">
        <v>826</v>
      </c>
      <c r="D157" t="s">
        <v>827</v>
      </c>
      <c r="E157" t="s">
        <v>828</v>
      </c>
      <c r="F157">
        <v>2014</v>
      </c>
      <c r="G157" s="12" t="s">
        <v>829</v>
      </c>
      <c r="H157" t="s">
        <v>145</v>
      </c>
      <c r="I157">
        <v>-23.9167</v>
      </c>
      <c r="J157">
        <v>-47.8333</v>
      </c>
      <c r="K157">
        <v>15</v>
      </c>
      <c r="L157" t="s">
        <v>357</v>
      </c>
      <c r="M157" t="str">
        <f t="shared" si="9"/>
        <v>Group C</v>
      </c>
      <c r="N157" t="s">
        <v>70</v>
      </c>
      <c r="O157" t="s">
        <v>146</v>
      </c>
      <c r="P157" t="s">
        <v>147</v>
      </c>
      <c r="Q157" t="s">
        <v>72</v>
      </c>
      <c r="R157" t="s">
        <v>147</v>
      </c>
      <c r="S157" t="s">
        <v>148</v>
      </c>
      <c r="T157" t="s">
        <v>74</v>
      </c>
      <c r="U157" t="s">
        <v>75</v>
      </c>
      <c r="V157" s="1" t="s">
        <v>117</v>
      </c>
      <c r="W157" s="1" t="s">
        <v>77</v>
      </c>
      <c r="X157" s="1" t="s">
        <v>117</v>
      </c>
      <c r="Y157" s="1" t="s">
        <v>117</v>
      </c>
      <c r="Z157" s="1" t="s">
        <v>118</v>
      </c>
      <c r="AA157" s="13">
        <v>43</v>
      </c>
      <c r="AB157" s="13" t="s">
        <v>79</v>
      </c>
      <c r="AC157" s="13" t="s">
        <v>80</v>
      </c>
      <c r="AQ157" s="7">
        <v>30</v>
      </c>
      <c r="AR157" s="15" t="s">
        <v>830</v>
      </c>
      <c r="AS157" s="15" t="s">
        <v>831</v>
      </c>
      <c r="AT157" s="7" t="s">
        <v>122</v>
      </c>
      <c r="AU157" s="7">
        <v>0.849174</v>
      </c>
      <c r="AV157" s="7">
        <v>6</v>
      </c>
      <c r="AW157" s="7">
        <v>0.281758</v>
      </c>
      <c r="AX157" s="7">
        <v>0.659003</v>
      </c>
      <c r="AY157" s="7">
        <v>10</v>
      </c>
      <c r="AZ157" s="7">
        <v>0.37528</v>
      </c>
      <c r="BA157" s="7">
        <v>1.01733</v>
      </c>
      <c r="BB157" s="7">
        <v>20</v>
      </c>
      <c r="BC157" s="7">
        <v>0.466028</v>
      </c>
      <c r="BD157" s="29" t="s">
        <v>98</v>
      </c>
      <c r="BG157" s="7" t="s">
        <v>101</v>
      </c>
      <c r="BH157" s="9" t="s">
        <v>153</v>
      </c>
      <c r="BI157" s="9" t="s">
        <v>126</v>
      </c>
      <c r="BJ157" s="10" t="str">
        <f t="shared" si="7"/>
        <v>subtropic</v>
      </c>
      <c r="BK157" s="11" t="s">
        <v>137</v>
      </c>
    </row>
    <row r="158" ht="42.75" spans="1:63">
      <c r="A158">
        <v>156</v>
      </c>
      <c r="B158" t="s">
        <v>832</v>
      </c>
      <c r="C158" t="s">
        <v>833</v>
      </c>
      <c r="D158" t="s">
        <v>834</v>
      </c>
      <c r="E158" t="s">
        <v>835</v>
      </c>
      <c r="F158">
        <v>2014</v>
      </c>
      <c r="G158" s="12" t="s">
        <v>836</v>
      </c>
      <c r="H158" t="s">
        <v>476</v>
      </c>
      <c r="I158">
        <v>52.7721</v>
      </c>
      <c r="J158">
        <v>-1.2062</v>
      </c>
      <c r="K158">
        <v>15</v>
      </c>
      <c r="L158" t="s">
        <v>357</v>
      </c>
      <c r="M158" t="str">
        <f t="shared" si="9"/>
        <v>Group C</v>
      </c>
      <c r="N158" t="s">
        <v>182</v>
      </c>
      <c r="O158" t="s">
        <v>183</v>
      </c>
      <c r="P158" t="s">
        <v>277</v>
      </c>
      <c r="Q158" t="s">
        <v>278</v>
      </c>
      <c r="R158" t="s">
        <v>277</v>
      </c>
      <c r="S158" t="s">
        <v>279</v>
      </c>
      <c r="T158" t="s">
        <v>280</v>
      </c>
      <c r="U158" t="s">
        <v>75</v>
      </c>
      <c r="V158" s="1" t="s">
        <v>172</v>
      </c>
      <c r="X158" s="1" t="s">
        <v>172</v>
      </c>
      <c r="Y158" s="1" t="s">
        <v>172</v>
      </c>
      <c r="Z158" s="1" t="s">
        <v>173</v>
      </c>
      <c r="AA158" s="13">
        <v>9.4</v>
      </c>
      <c r="AB158" s="13" t="s">
        <v>192</v>
      </c>
      <c r="AC158" s="13" t="s">
        <v>80</v>
      </c>
      <c r="AD158" s="3">
        <v>16.667</v>
      </c>
      <c r="AE158" s="3">
        <v>3</v>
      </c>
      <c r="AF158" s="3">
        <v>5.715</v>
      </c>
      <c r="AG158" s="4">
        <v>6.5</v>
      </c>
      <c r="AH158" s="3">
        <v>10</v>
      </c>
      <c r="AI158" s="3">
        <v>3.028</v>
      </c>
      <c r="AJ158" s="5" t="s">
        <v>81</v>
      </c>
      <c r="AK158" s="14">
        <v>0.927</v>
      </c>
      <c r="AL158" s="14">
        <v>3</v>
      </c>
      <c r="AM158" s="14">
        <v>0.234</v>
      </c>
      <c r="AN158" s="14">
        <v>0.877</v>
      </c>
      <c r="AO158" s="14">
        <v>10</v>
      </c>
      <c r="AP158" s="14">
        <v>0.338</v>
      </c>
      <c r="BH158" s="9" t="s">
        <v>82</v>
      </c>
      <c r="BI158" s="9" t="s">
        <v>82</v>
      </c>
      <c r="BJ158" s="10" t="str">
        <f t="shared" si="7"/>
        <v>temperate</v>
      </c>
      <c r="BK158" s="11" t="s">
        <v>137</v>
      </c>
    </row>
    <row r="159" ht="42.75" spans="1:63">
      <c r="A159">
        <v>157</v>
      </c>
      <c r="B159" t="s">
        <v>837</v>
      </c>
      <c r="C159" t="s">
        <v>838</v>
      </c>
      <c r="D159" t="s">
        <v>839</v>
      </c>
      <c r="E159" t="s">
        <v>840</v>
      </c>
      <c r="F159">
        <v>2013</v>
      </c>
      <c r="G159" s="12" t="s">
        <v>841</v>
      </c>
      <c r="H159" t="s">
        <v>276</v>
      </c>
      <c r="I159">
        <v>40.019</v>
      </c>
      <c r="J159">
        <v>-105.2747</v>
      </c>
      <c r="K159">
        <v>7</v>
      </c>
      <c r="L159" t="s">
        <v>494</v>
      </c>
      <c r="M159" t="str">
        <f t="shared" si="9"/>
        <v>Group B</v>
      </c>
      <c r="N159" t="s">
        <v>182</v>
      </c>
      <c r="O159" t="s">
        <v>183</v>
      </c>
      <c r="P159" t="s">
        <v>842</v>
      </c>
      <c r="Q159" t="s">
        <v>227</v>
      </c>
      <c r="R159" t="s">
        <v>340</v>
      </c>
      <c r="S159" t="s">
        <v>495</v>
      </c>
      <c r="T159" t="s">
        <v>74</v>
      </c>
      <c r="U159" t="s">
        <v>75</v>
      </c>
      <c r="V159" s="1" t="s">
        <v>172</v>
      </c>
      <c r="X159" s="1" t="s">
        <v>172</v>
      </c>
      <c r="Y159" s="1" t="s">
        <v>286</v>
      </c>
      <c r="Z159" s="1" t="s">
        <v>287</v>
      </c>
      <c r="AA159" s="13">
        <v>182</v>
      </c>
      <c r="AB159" s="13" t="s">
        <v>174</v>
      </c>
      <c r="AC159" s="13" t="s">
        <v>94</v>
      </c>
      <c r="AD159" s="3">
        <v>6.489</v>
      </c>
      <c r="AE159" s="3">
        <v>70</v>
      </c>
      <c r="AF159" s="3">
        <v>2.836</v>
      </c>
      <c r="AG159" s="4">
        <v>4.54</v>
      </c>
      <c r="AH159" s="3">
        <v>70</v>
      </c>
      <c r="AI159" s="3">
        <v>2.735</v>
      </c>
      <c r="BH159" s="9" t="s">
        <v>82</v>
      </c>
      <c r="BI159" s="9" t="s">
        <v>82</v>
      </c>
      <c r="BJ159" s="10" t="str">
        <f t="shared" si="7"/>
        <v>temperate</v>
      </c>
      <c r="BK159" s="11" t="s">
        <v>164</v>
      </c>
    </row>
    <row r="160" ht="42.75" spans="1:63">
      <c r="A160">
        <v>158</v>
      </c>
      <c r="B160" t="s">
        <v>837</v>
      </c>
      <c r="C160" t="s">
        <v>838</v>
      </c>
      <c r="D160" t="s">
        <v>839</v>
      </c>
      <c r="E160" t="s">
        <v>840</v>
      </c>
      <c r="F160">
        <v>2013</v>
      </c>
      <c r="G160" s="12" t="s">
        <v>841</v>
      </c>
      <c r="H160" t="s">
        <v>276</v>
      </c>
      <c r="I160">
        <v>40.019</v>
      </c>
      <c r="J160">
        <v>-105.2747</v>
      </c>
      <c r="K160">
        <v>7</v>
      </c>
      <c r="L160" t="s">
        <v>494</v>
      </c>
      <c r="M160" t="str">
        <f t="shared" si="9"/>
        <v>Group B</v>
      </c>
      <c r="N160" t="s">
        <v>182</v>
      </c>
      <c r="O160" t="s">
        <v>183</v>
      </c>
      <c r="P160" t="s">
        <v>842</v>
      </c>
      <c r="Q160" t="s">
        <v>227</v>
      </c>
      <c r="R160" t="s">
        <v>340</v>
      </c>
      <c r="S160" t="s">
        <v>495</v>
      </c>
      <c r="T160" t="s">
        <v>74</v>
      </c>
      <c r="U160" t="s">
        <v>75</v>
      </c>
      <c r="V160" s="1" t="s">
        <v>284</v>
      </c>
      <c r="X160" s="1" t="s">
        <v>284</v>
      </c>
      <c r="Y160" s="1" t="s">
        <v>281</v>
      </c>
      <c r="Z160" s="1" t="s">
        <v>390</v>
      </c>
      <c r="AA160" s="13">
        <v>182</v>
      </c>
      <c r="AB160" s="13" t="s">
        <v>174</v>
      </c>
      <c r="AC160" s="13" t="s">
        <v>94</v>
      </c>
      <c r="AD160" s="3">
        <v>1.853</v>
      </c>
      <c r="AE160" s="3">
        <v>70</v>
      </c>
      <c r="AF160" s="3">
        <v>1.389</v>
      </c>
      <c r="AG160" s="4">
        <v>0.629</v>
      </c>
      <c r="AH160" s="3">
        <v>70</v>
      </c>
      <c r="AI160" s="3">
        <v>1.012</v>
      </c>
      <c r="BH160" s="9" t="s">
        <v>82</v>
      </c>
      <c r="BI160" s="9" t="s">
        <v>82</v>
      </c>
      <c r="BJ160" s="10" t="str">
        <f t="shared" si="7"/>
        <v>temperate</v>
      </c>
      <c r="BK160" s="11" t="s">
        <v>164</v>
      </c>
    </row>
    <row r="161" ht="28.5" spans="1:63">
      <c r="A161">
        <v>159</v>
      </c>
      <c r="B161" t="s">
        <v>843</v>
      </c>
      <c r="C161" t="s">
        <v>844</v>
      </c>
      <c r="D161" t="s">
        <v>845</v>
      </c>
      <c r="E161" t="s">
        <v>846</v>
      </c>
      <c r="F161">
        <v>2013</v>
      </c>
      <c r="G161" s="12" t="s">
        <v>847</v>
      </c>
      <c r="H161" t="s">
        <v>145</v>
      </c>
      <c r="I161">
        <v>-23.7403</v>
      </c>
      <c r="J161">
        <v>-46.3667</v>
      </c>
      <c r="K161">
        <v>15</v>
      </c>
      <c r="L161" t="s">
        <v>357</v>
      </c>
      <c r="M161" t="str">
        <f t="shared" si="9"/>
        <v>Group C</v>
      </c>
      <c r="N161" t="s">
        <v>70</v>
      </c>
      <c r="O161" t="s">
        <v>146</v>
      </c>
      <c r="P161" t="s">
        <v>72</v>
      </c>
      <c r="Q161" t="s">
        <v>72</v>
      </c>
      <c r="R161" t="s">
        <v>72</v>
      </c>
      <c r="S161" t="s">
        <v>73</v>
      </c>
      <c r="T161" t="s">
        <v>74</v>
      </c>
      <c r="U161" t="s">
        <v>75</v>
      </c>
      <c r="V161" s="1" t="s">
        <v>117</v>
      </c>
      <c r="W161" s="1" t="s">
        <v>239</v>
      </c>
      <c r="X161" s="1" t="s">
        <v>117</v>
      </c>
      <c r="Y161" s="1" t="s">
        <v>117</v>
      </c>
      <c r="Z161" s="1" t="s">
        <v>118</v>
      </c>
      <c r="AA161" s="13">
        <v>8.2</v>
      </c>
      <c r="AB161" s="13" t="s">
        <v>192</v>
      </c>
      <c r="AC161" s="13" t="s">
        <v>80</v>
      </c>
      <c r="AD161" s="3">
        <v>8</v>
      </c>
      <c r="AE161" s="3">
        <v>2</v>
      </c>
      <c r="AF161" s="3">
        <v>2</v>
      </c>
      <c r="AG161" s="4">
        <v>12.5</v>
      </c>
      <c r="AH161" s="3">
        <v>2</v>
      </c>
      <c r="AI161" s="3">
        <v>0.5</v>
      </c>
      <c r="AJ161" s="5" t="s">
        <v>81</v>
      </c>
      <c r="AK161" s="14">
        <v>0.72</v>
      </c>
      <c r="AL161" s="14">
        <v>2</v>
      </c>
      <c r="AM161" s="14">
        <v>0.08</v>
      </c>
      <c r="AN161" s="14">
        <v>0.81</v>
      </c>
      <c r="AO161" s="14">
        <v>2</v>
      </c>
      <c r="AP161" s="14">
        <v>0.01</v>
      </c>
      <c r="BE161" s="8" t="s">
        <v>848</v>
      </c>
      <c r="BH161" s="9" t="s">
        <v>153</v>
      </c>
      <c r="BI161" s="9" t="s">
        <v>126</v>
      </c>
      <c r="BJ161" s="10" t="str">
        <f t="shared" si="7"/>
        <v>subtropic</v>
      </c>
      <c r="BK161" s="11" t="s">
        <v>127</v>
      </c>
    </row>
    <row r="162" ht="28.5" spans="1:63">
      <c r="A162">
        <v>160</v>
      </c>
      <c r="B162" t="s">
        <v>843</v>
      </c>
      <c r="C162" t="s">
        <v>844</v>
      </c>
      <c r="D162" t="s">
        <v>845</v>
      </c>
      <c r="E162" t="s">
        <v>846</v>
      </c>
      <c r="F162">
        <v>2013</v>
      </c>
      <c r="G162" s="12" t="s">
        <v>847</v>
      </c>
      <c r="H162" t="s">
        <v>145</v>
      </c>
      <c r="I162">
        <v>-23.7403</v>
      </c>
      <c r="J162">
        <v>-46.3667</v>
      </c>
      <c r="K162">
        <v>15</v>
      </c>
      <c r="L162" t="s">
        <v>357</v>
      </c>
      <c r="M162" t="str">
        <f t="shared" si="9"/>
        <v>Group C</v>
      </c>
      <c r="N162" t="s">
        <v>70</v>
      </c>
      <c r="O162" t="s">
        <v>146</v>
      </c>
      <c r="P162" t="s">
        <v>72</v>
      </c>
      <c r="Q162" t="s">
        <v>72</v>
      </c>
      <c r="R162" t="s">
        <v>72</v>
      </c>
      <c r="S162" t="s">
        <v>73</v>
      </c>
      <c r="T162" t="s">
        <v>74</v>
      </c>
      <c r="U162" t="s">
        <v>75</v>
      </c>
      <c r="V162" s="1" t="s">
        <v>117</v>
      </c>
      <c r="W162" s="1" t="s">
        <v>239</v>
      </c>
      <c r="X162" s="1" t="s">
        <v>117</v>
      </c>
      <c r="Y162" s="1" t="s">
        <v>117</v>
      </c>
      <c r="Z162" s="1" t="s">
        <v>118</v>
      </c>
      <c r="AA162" s="13">
        <v>8.2</v>
      </c>
      <c r="AB162" s="13" t="s">
        <v>192</v>
      </c>
      <c r="AC162" s="13" t="s">
        <v>80</v>
      </c>
      <c r="AD162" s="3">
        <v>7</v>
      </c>
      <c r="AE162" s="3">
        <v>2</v>
      </c>
      <c r="AF162" s="3">
        <v>1.414</v>
      </c>
      <c r="AG162" s="4">
        <v>5.5</v>
      </c>
      <c r="AH162" s="3">
        <v>2</v>
      </c>
      <c r="AI162" s="3">
        <v>0.707</v>
      </c>
      <c r="AJ162" s="5" t="s">
        <v>81</v>
      </c>
      <c r="AK162" s="14">
        <v>0.64</v>
      </c>
      <c r="AL162" s="14">
        <v>2</v>
      </c>
      <c r="AM162" s="14">
        <v>0.042</v>
      </c>
      <c r="AN162" s="14">
        <v>0.58</v>
      </c>
      <c r="AO162" s="14">
        <v>2</v>
      </c>
      <c r="AP162" s="14">
        <v>0.084</v>
      </c>
      <c r="BE162" s="8" t="s">
        <v>129</v>
      </c>
      <c r="BH162" s="9" t="s">
        <v>153</v>
      </c>
      <c r="BI162" s="9" t="s">
        <v>126</v>
      </c>
      <c r="BJ162" s="10" t="str">
        <f t="shared" si="7"/>
        <v>subtropic</v>
      </c>
      <c r="BK162" s="11" t="s">
        <v>127</v>
      </c>
    </row>
    <row r="163" ht="28.5" spans="1:63">
      <c r="A163">
        <v>161</v>
      </c>
      <c r="B163" t="s">
        <v>849</v>
      </c>
      <c r="C163" t="s">
        <v>850</v>
      </c>
      <c r="D163" t="s">
        <v>851</v>
      </c>
      <c r="E163" t="s">
        <v>852</v>
      </c>
      <c r="F163">
        <v>2012</v>
      </c>
      <c r="G163" s="12" t="s">
        <v>853</v>
      </c>
      <c r="H163" t="s">
        <v>145</v>
      </c>
      <c r="I163">
        <v>-24.7227</v>
      </c>
      <c r="J163">
        <v>-53.7408</v>
      </c>
      <c r="K163">
        <v>14</v>
      </c>
      <c r="L163" t="s">
        <v>89</v>
      </c>
      <c r="M163" t="str">
        <f t="shared" si="9"/>
        <v>Group C</v>
      </c>
      <c r="N163" t="s">
        <v>70</v>
      </c>
      <c r="O163" t="s">
        <v>146</v>
      </c>
      <c r="P163" t="s">
        <v>147</v>
      </c>
      <c r="Q163" t="s">
        <v>72</v>
      </c>
      <c r="R163" t="s">
        <v>147</v>
      </c>
      <c r="S163" t="s">
        <v>148</v>
      </c>
      <c r="T163" t="s">
        <v>74</v>
      </c>
      <c r="U163" t="s">
        <v>75</v>
      </c>
      <c r="V163" s="1" t="s">
        <v>117</v>
      </c>
      <c r="W163" s="1" t="s">
        <v>77</v>
      </c>
      <c r="X163" s="1" t="s">
        <v>117</v>
      </c>
      <c r="Y163" s="1" t="s">
        <v>117</v>
      </c>
      <c r="Z163" s="1" t="s">
        <v>118</v>
      </c>
      <c r="AA163" s="13">
        <v>2.52</v>
      </c>
      <c r="AB163" s="13" t="s">
        <v>192</v>
      </c>
      <c r="AC163" s="13" t="s">
        <v>80</v>
      </c>
      <c r="AQ163" s="7">
        <v>31</v>
      </c>
      <c r="AR163" s="15" t="s">
        <v>854</v>
      </c>
      <c r="AS163" s="15" t="s">
        <v>855</v>
      </c>
      <c r="AT163" s="7" t="s">
        <v>122</v>
      </c>
      <c r="AU163" s="7">
        <v>0.826133</v>
      </c>
      <c r="AV163" s="7">
        <v>190</v>
      </c>
      <c r="AW163" s="7">
        <v>0.450278</v>
      </c>
      <c r="AX163" s="7">
        <v>0.549959</v>
      </c>
      <c r="AY163" s="7">
        <v>78</v>
      </c>
      <c r="AZ163" s="7">
        <v>0.310266</v>
      </c>
      <c r="BA163" s="7">
        <v>1.245427</v>
      </c>
      <c r="BB163" s="7">
        <v>260</v>
      </c>
      <c r="BC163" s="7">
        <v>0.421218</v>
      </c>
      <c r="BD163" s="29" t="s">
        <v>98</v>
      </c>
      <c r="BG163" s="7" t="s">
        <v>479</v>
      </c>
      <c r="BH163" s="9" t="s">
        <v>153</v>
      </c>
      <c r="BI163" s="9" t="s">
        <v>126</v>
      </c>
      <c r="BJ163" s="10" t="str">
        <f t="shared" si="7"/>
        <v>subtropic</v>
      </c>
      <c r="BK163" s="11" t="s">
        <v>83</v>
      </c>
    </row>
    <row r="164" ht="42.75" spans="1:63">
      <c r="A164">
        <v>162</v>
      </c>
      <c r="B164" t="s">
        <v>856</v>
      </c>
      <c r="C164" t="s">
        <v>857</v>
      </c>
      <c r="D164" t="s">
        <v>858</v>
      </c>
      <c r="E164" t="s">
        <v>859</v>
      </c>
      <c r="F164">
        <v>2012</v>
      </c>
      <c r="G164" s="12" t="s">
        <v>860</v>
      </c>
      <c r="H164" t="s">
        <v>276</v>
      </c>
      <c r="I164">
        <v>30.3298</v>
      </c>
      <c r="J164">
        <v>-81.6592</v>
      </c>
      <c r="K164">
        <v>14</v>
      </c>
      <c r="L164" t="s">
        <v>89</v>
      </c>
      <c r="M164" t="str">
        <f t="shared" si="9"/>
        <v>Group C</v>
      </c>
      <c r="N164" t="s">
        <v>182</v>
      </c>
      <c r="O164" t="s">
        <v>183</v>
      </c>
      <c r="P164" t="s">
        <v>147</v>
      </c>
      <c r="Q164" t="s">
        <v>72</v>
      </c>
      <c r="R164" t="s">
        <v>147</v>
      </c>
      <c r="S164" t="s">
        <v>148</v>
      </c>
      <c r="T164" t="s">
        <v>74</v>
      </c>
      <c r="U164" t="s">
        <v>75</v>
      </c>
      <c r="V164" s="1" t="s">
        <v>172</v>
      </c>
      <c r="X164" s="1" t="s">
        <v>172</v>
      </c>
      <c r="Y164" s="1" t="s">
        <v>172</v>
      </c>
      <c r="Z164" s="1" t="s">
        <v>173</v>
      </c>
      <c r="AA164" s="13">
        <v>35</v>
      </c>
      <c r="AB164" s="13" t="s">
        <v>79</v>
      </c>
      <c r="AC164" s="13" t="s">
        <v>80</v>
      </c>
      <c r="AD164" s="3">
        <v>29.5</v>
      </c>
      <c r="AE164" s="3">
        <v>2</v>
      </c>
      <c r="AF164" s="3">
        <v>2.5</v>
      </c>
      <c r="AG164" s="4">
        <v>35.2</v>
      </c>
      <c r="AH164" s="3">
        <v>5</v>
      </c>
      <c r="AI164" s="3">
        <v>5.31</v>
      </c>
      <c r="BH164" s="9" t="s">
        <v>626</v>
      </c>
      <c r="BI164" s="9" t="s">
        <v>126</v>
      </c>
      <c r="BJ164" s="10" t="str">
        <f t="shared" si="7"/>
        <v>subtropic</v>
      </c>
      <c r="BK164" s="11" t="s">
        <v>164</v>
      </c>
    </row>
    <row r="165" ht="28.5" spans="1:63">
      <c r="A165">
        <v>163</v>
      </c>
      <c r="B165" t="s">
        <v>861</v>
      </c>
      <c r="C165" t="s">
        <v>862</v>
      </c>
      <c r="D165" t="s">
        <v>863</v>
      </c>
      <c r="E165" t="s">
        <v>864</v>
      </c>
      <c r="F165">
        <v>2011</v>
      </c>
      <c r="G165" s="12" t="s">
        <v>865</v>
      </c>
      <c r="H165" t="s">
        <v>145</v>
      </c>
      <c r="I165">
        <v>-22.6167</v>
      </c>
      <c r="J165">
        <v>-47.6333</v>
      </c>
      <c r="K165">
        <v>14</v>
      </c>
      <c r="L165" t="s">
        <v>89</v>
      </c>
      <c r="M165" t="str">
        <f t="shared" si="9"/>
        <v>Group C</v>
      </c>
      <c r="N165" t="s">
        <v>444</v>
      </c>
      <c r="O165" t="s">
        <v>146</v>
      </c>
      <c r="P165" t="s">
        <v>147</v>
      </c>
      <c r="Q165" t="s">
        <v>72</v>
      </c>
      <c r="R165" t="s">
        <v>147</v>
      </c>
      <c r="S165" t="s">
        <v>148</v>
      </c>
      <c r="T165" t="s">
        <v>74</v>
      </c>
      <c r="U165" t="s">
        <v>75</v>
      </c>
      <c r="V165" s="1" t="s">
        <v>117</v>
      </c>
      <c r="W165" s="1" t="s">
        <v>239</v>
      </c>
      <c r="X165" s="1" t="s">
        <v>117</v>
      </c>
      <c r="Y165" s="1" t="s">
        <v>117</v>
      </c>
      <c r="Z165" s="1" t="s">
        <v>118</v>
      </c>
      <c r="AA165" s="13">
        <v>19.7</v>
      </c>
      <c r="AB165" s="13" t="s">
        <v>79</v>
      </c>
      <c r="AC165" s="13" t="s">
        <v>80</v>
      </c>
      <c r="AD165" s="3">
        <v>12.6</v>
      </c>
      <c r="AE165" s="3">
        <v>5</v>
      </c>
      <c r="AF165" s="3">
        <v>2.153</v>
      </c>
      <c r="AG165" s="4">
        <v>10.2</v>
      </c>
      <c r="AH165" s="3">
        <v>5</v>
      </c>
      <c r="AI165" s="3">
        <v>1.326</v>
      </c>
      <c r="AJ165" s="5" t="s">
        <v>81</v>
      </c>
      <c r="AK165" s="14">
        <v>1.799</v>
      </c>
      <c r="AL165" s="14">
        <v>5</v>
      </c>
      <c r="AM165" s="14">
        <v>0.159</v>
      </c>
      <c r="AN165" s="14">
        <v>1.621</v>
      </c>
      <c r="AO165" s="14">
        <v>5</v>
      </c>
      <c r="AP165" s="14">
        <v>0.599</v>
      </c>
      <c r="BE165" s="8" t="s">
        <v>129</v>
      </c>
      <c r="BH165" s="9" t="s">
        <v>153</v>
      </c>
      <c r="BI165" s="9" t="s">
        <v>126</v>
      </c>
      <c r="BJ165" s="10" t="str">
        <f t="shared" si="7"/>
        <v>tropic</v>
      </c>
      <c r="BK165" s="11" t="s">
        <v>137</v>
      </c>
    </row>
    <row r="166" ht="28.5" spans="1:63">
      <c r="A166">
        <v>164</v>
      </c>
      <c r="B166" t="s">
        <v>861</v>
      </c>
      <c r="C166" t="s">
        <v>862</v>
      </c>
      <c r="D166" t="s">
        <v>863</v>
      </c>
      <c r="E166" t="s">
        <v>864</v>
      </c>
      <c r="F166">
        <v>2011</v>
      </c>
      <c r="G166" s="12" t="s">
        <v>865</v>
      </c>
      <c r="H166" t="s">
        <v>145</v>
      </c>
      <c r="I166">
        <v>-22.6167</v>
      </c>
      <c r="J166">
        <v>-47.6333</v>
      </c>
      <c r="K166">
        <v>14</v>
      </c>
      <c r="L166" t="s">
        <v>89</v>
      </c>
      <c r="M166" t="str">
        <f t="shared" si="9"/>
        <v>Group C</v>
      </c>
      <c r="N166" t="s">
        <v>444</v>
      </c>
      <c r="O166" t="s">
        <v>146</v>
      </c>
      <c r="P166" t="s">
        <v>147</v>
      </c>
      <c r="Q166" t="s">
        <v>72</v>
      </c>
      <c r="R166" t="s">
        <v>147</v>
      </c>
      <c r="S166" t="s">
        <v>148</v>
      </c>
      <c r="T166" t="s">
        <v>74</v>
      </c>
      <c r="U166" t="s">
        <v>75</v>
      </c>
      <c r="V166" s="1" t="s">
        <v>117</v>
      </c>
      <c r="W166" s="1" t="s">
        <v>239</v>
      </c>
      <c r="X166" s="1" t="s">
        <v>117</v>
      </c>
      <c r="Y166" s="1" t="s">
        <v>117</v>
      </c>
      <c r="Z166" s="1" t="s">
        <v>118</v>
      </c>
      <c r="AA166" s="13">
        <v>19.7</v>
      </c>
      <c r="AB166" s="13" t="s">
        <v>79</v>
      </c>
      <c r="AC166" s="13" t="s">
        <v>80</v>
      </c>
      <c r="AD166" s="3">
        <v>8</v>
      </c>
      <c r="AE166" s="3">
        <v>5</v>
      </c>
      <c r="AF166" s="3">
        <v>2.121</v>
      </c>
      <c r="AG166" s="4">
        <v>11.4</v>
      </c>
      <c r="AH166" s="3">
        <v>5</v>
      </c>
      <c r="AI166" s="3">
        <v>4.393</v>
      </c>
      <c r="AJ166" s="5" t="s">
        <v>81</v>
      </c>
      <c r="AK166" s="14">
        <v>1.713</v>
      </c>
      <c r="AL166" s="14">
        <v>5</v>
      </c>
      <c r="AM166" s="14">
        <v>0.307</v>
      </c>
      <c r="AN166" s="14">
        <v>1.746</v>
      </c>
      <c r="AO166" s="14">
        <v>5</v>
      </c>
      <c r="AP166" s="14">
        <v>0.303</v>
      </c>
      <c r="BE166" s="8" t="s">
        <v>848</v>
      </c>
      <c r="BH166" s="9" t="s">
        <v>153</v>
      </c>
      <c r="BI166" s="9" t="s">
        <v>126</v>
      </c>
      <c r="BJ166" s="10" t="str">
        <f t="shared" si="7"/>
        <v>tropic</v>
      </c>
      <c r="BK166" s="11" t="s">
        <v>137</v>
      </c>
    </row>
    <row r="167" ht="42.75" spans="1:63">
      <c r="A167">
        <v>165</v>
      </c>
      <c r="B167" t="s">
        <v>866</v>
      </c>
      <c r="C167" t="s">
        <v>867</v>
      </c>
      <c r="D167" t="s">
        <v>868</v>
      </c>
      <c r="E167" t="s">
        <v>869</v>
      </c>
      <c r="F167">
        <v>2011</v>
      </c>
      <c r="G167" s="12" t="s">
        <v>870</v>
      </c>
      <c r="H167" t="s">
        <v>871</v>
      </c>
      <c r="I167">
        <v>-36.9915</v>
      </c>
      <c r="J167">
        <v>174.8734</v>
      </c>
      <c r="K167">
        <v>15</v>
      </c>
      <c r="L167" t="s">
        <v>357</v>
      </c>
      <c r="M167" t="str">
        <f t="shared" si="9"/>
        <v>Group C</v>
      </c>
      <c r="N167" t="s">
        <v>182</v>
      </c>
      <c r="O167" t="s">
        <v>358</v>
      </c>
      <c r="P167" t="s">
        <v>147</v>
      </c>
      <c r="Q167" t="s">
        <v>72</v>
      </c>
      <c r="R167" t="s">
        <v>147</v>
      </c>
      <c r="S167" t="s">
        <v>148</v>
      </c>
      <c r="T167" t="s">
        <v>74</v>
      </c>
      <c r="U167" t="s">
        <v>75</v>
      </c>
      <c r="V167" s="1" t="s">
        <v>172</v>
      </c>
      <c r="X167" s="1" t="s">
        <v>172</v>
      </c>
      <c r="Y167" s="1" t="s">
        <v>172</v>
      </c>
      <c r="Z167" s="1" t="s">
        <v>173</v>
      </c>
      <c r="AA167" s="13">
        <v>6.2</v>
      </c>
      <c r="AB167" s="13" t="s">
        <v>192</v>
      </c>
      <c r="AC167" s="13" t="s">
        <v>80</v>
      </c>
      <c r="AD167" s="3">
        <v>26</v>
      </c>
      <c r="AE167" s="3">
        <v>3</v>
      </c>
      <c r="AF167" s="3">
        <v>2.04</v>
      </c>
      <c r="AG167" s="4">
        <v>13.22</v>
      </c>
      <c r="AH167" s="3">
        <v>3</v>
      </c>
      <c r="AI167" s="3">
        <v>1.8</v>
      </c>
      <c r="BH167" s="9" t="s">
        <v>871</v>
      </c>
      <c r="BI167" s="9" t="s">
        <v>126</v>
      </c>
      <c r="BJ167" s="10" t="str">
        <f t="shared" ref="BJ167:BJ203" si="10">IF(ABS(I167)&lt;23.5,"tropic",IF(ABS(I167)&lt;40,"subtropic",IF(ABS(I167)&lt;60,"temperate","arctic")))</f>
        <v>subtropic</v>
      </c>
      <c r="BK167" s="11" t="s">
        <v>137</v>
      </c>
    </row>
    <row r="168" ht="42.75" spans="1:63">
      <c r="A168">
        <v>166</v>
      </c>
      <c r="B168" t="s">
        <v>872</v>
      </c>
      <c r="C168" t="s">
        <v>873</v>
      </c>
      <c r="D168" t="s">
        <v>874</v>
      </c>
      <c r="E168" t="s">
        <v>875</v>
      </c>
      <c r="F168">
        <v>2010</v>
      </c>
      <c r="G168" s="12" t="s">
        <v>876</v>
      </c>
      <c r="H168" t="s">
        <v>356</v>
      </c>
      <c r="I168" s="1">
        <v>-33.7556</v>
      </c>
      <c r="J168" s="25">
        <v>151.15</v>
      </c>
      <c r="K168">
        <v>14</v>
      </c>
      <c r="L168" t="s">
        <v>89</v>
      </c>
      <c r="M168" t="str">
        <f t="shared" si="9"/>
        <v>Group C</v>
      </c>
      <c r="N168" s="25" t="s">
        <v>182</v>
      </c>
      <c r="O168" t="s">
        <v>358</v>
      </c>
      <c r="P168" t="s">
        <v>147</v>
      </c>
      <c r="Q168" t="s">
        <v>72</v>
      </c>
      <c r="R168" t="s">
        <v>147</v>
      </c>
      <c r="S168" t="s">
        <v>148</v>
      </c>
      <c r="T168" t="s">
        <v>74</v>
      </c>
      <c r="U168" t="s">
        <v>75</v>
      </c>
      <c r="V168" s="1" t="s">
        <v>172</v>
      </c>
      <c r="X168" s="1" t="s">
        <v>172</v>
      </c>
      <c r="Y168" s="1" t="s">
        <v>172</v>
      </c>
      <c r="Z168" s="1" t="s">
        <v>173</v>
      </c>
      <c r="AA168" s="13">
        <v>22</v>
      </c>
      <c r="AB168" s="13" t="s">
        <v>79</v>
      </c>
      <c r="AC168" s="13" t="s">
        <v>80</v>
      </c>
      <c r="AD168" s="3">
        <v>21.887</v>
      </c>
      <c r="AE168" s="3">
        <v>20</v>
      </c>
      <c r="AF168" s="3">
        <v>3.819</v>
      </c>
      <c r="AG168" s="24">
        <v>14.562</v>
      </c>
      <c r="AH168" s="3">
        <v>13</v>
      </c>
      <c r="AI168" s="3">
        <v>3.9</v>
      </c>
      <c r="BE168" s="8" t="s">
        <v>151</v>
      </c>
      <c r="BH168" s="9" t="s">
        <v>361</v>
      </c>
      <c r="BI168" s="9" t="s">
        <v>126</v>
      </c>
      <c r="BJ168" s="10" t="str">
        <f t="shared" si="10"/>
        <v>subtropic</v>
      </c>
      <c r="BK168" s="11" t="s">
        <v>164</v>
      </c>
    </row>
    <row r="169" ht="42.75" spans="1:63">
      <c r="A169">
        <v>167</v>
      </c>
      <c r="B169" t="s">
        <v>872</v>
      </c>
      <c r="C169" t="s">
        <v>873</v>
      </c>
      <c r="D169" t="s">
        <v>877</v>
      </c>
      <c r="E169" t="s">
        <v>875</v>
      </c>
      <c r="F169">
        <v>2010</v>
      </c>
      <c r="G169" s="12" t="s">
        <v>876</v>
      </c>
      <c r="H169" t="s">
        <v>356</v>
      </c>
      <c r="I169" s="1">
        <v>-33.7556</v>
      </c>
      <c r="J169" s="25">
        <v>151.15</v>
      </c>
      <c r="K169">
        <v>14</v>
      </c>
      <c r="L169" t="s">
        <v>89</v>
      </c>
      <c r="M169" t="str">
        <f t="shared" si="9"/>
        <v>Group C</v>
      </c>
      <c r="N169" s="25" t="s">
        <v>182</v>
      </c>
      <c r="O169" t="s">
        <v>358</v>
      </c>
      <c r="P169" t="s">
        <v>147</v>
      </c>
      <c r="Q169" t="s">
        <v>72</v>
      </c>
      <c r="R169" t="s">
        <v>147</v>
      </c>
      <c r="S169" t="s">
        <v>148</v>
      </c>
      <c r="T169" t="s">
        <v>74</v>
      </c>
      <c r="U169" t="s">
        <v>75</v>
      </c>
      <c r="V169" s="1" t="s">
        <v>172</v>
      </c>
      <c r="X169" s="1" t="s">
        <v>172</v>
      </c>
      <c r="Y169" s="1" t="s">
        <v>172</v>
      </c>
      <c r="Z169" s="1" t="s">
        <v>173</v>
      </c>
      <c r="AA169" s="13">
        <v>22</v>
      </c>
      <c r="AB169" s="13" t="s">
        <v>79</v>
      </c>
      <c r="AC169" s="13" t="s">
        <v>80</v>
      </c>
      <c r="AD169" s="3">
        <v>16.576</v>
      </c>
      <c r="AE169" s="3">
        <v>20</v>
      </c>
      <c r="AF169" s="3">
        <v>3.564</v>
      </c>
      <c r="AG169" s="24">
        <v>11.877</v>
      </c>
      <c r="AH169" s="3">
        <v>13</v>
      </c>
      <c r="AI169" s="3">
        <v>2.873</v>
      </c>
      <c r="BE169" s="8" t="s">
        <v>878</v>
      </c>
      <c r="BH169" s="9" t="s">
        <v>361</v>
      </c>
      <c r="BI169" s="9" t="s">
        <v>126</v>
      </c>
      <c r="BJ169" s="10" t="str">
        <f t="shared" si="10"/>
        <v>subtropic</v>
      </c>
      <c r="BK169" s="11" t="s">
        <v>164</v>
      </c>
    </row>
    <row r="170" ht="42.75" spans="1:63">
      <c r="A170">
        <v>168</v>
      </c>
      <c r="B170" t="s">
        <v>872</v>
      </c>
      <c r="C170" t="s">
        <v>873</v>
      </c>
      <c r="D170" t="s">
        <v>879</v>
      </c>
      <c r="E170" t="s">
        <v>875</v>
      </c>
      <c r="F170">
        <v>2010</v>
      </c>
      <c r="G170" s="12" t="s">
        <v>876</v>
      </c>
      <c r="H170" t="s">
        <v>356</v>
      </c>
      <c r="I170" s="1">
        <v>-33.7556</v>
      </c>
      <c r="J170" s="25">
        <v>151.15</v>
      </c>
      <c r="K170">
        <v>14</v>
      </c>
      <c r="L170" t="s">
        <v>89</v>
      </c>
      <c r="M170" t="str">
        <f t="shared" si="9"/>
        <v>Group C</v>
      </c>
      <c r="N170" s="25" t="s">
        <v>182</v>
      </c>
      <c r="O170" t="s">
        <v>358</v>
      </c>
      <c r="P170" t="s">
        <v>147</v>
      </c>
      <c r="Q170" t="s">
        <v>72</v>
      </c>
      <c r="R170" t="s">
        <v>147</v>
      </c>
      <c r="S170" t="s">
        <v>148</v>
      </c>
      <c r="T170" t="s">
        <v>74</v>
      </c>
      <c r="U170" t="s">
        <v>75</v>
      </c>
      <c r="V170" s="1" t="s">
        <v>172</v>
      </c>
      <c r="X170" s="1" t="s">
        <v>172</v>
      </c>
      <c r="Y170" s="1" t="s">
        <v>172</v>
      </c>
      <c r="Z170" s="1" t="s">
        <v>173</v>
      </c>
      <c r="AA170" s="13">
        <v>22</v>
      </c>
      <c r="AB170" s="13" t="s">
        <v>79</v>
      </c>
      <c r="AC170" s="13" t="s">
        <v>80</v>
      </c>
      <c r="AD170" s="3">
        <v>25.827</v>
      </c>
      <c r="AE170" s="3">
        <v>20</v>
      </c>
      <c r="AF170" s="3">
        <v>3.564</v>
      </c>
      <c r="AG170" s="4">
        <v>17.13</v>
      </c>
      <c r="AH170" s="3">
        <v>13</v>
      </c>
      <c r="AI170" s="3">
        <v>3.694</v>
      </c>
      <c r="BE170" s="8" t="s">
        <v>880</v>
      </c>
      <c r="BH170" s="9" t="s">
        <v>361</v>
      </c>
      <c r="BI170" s="9" t="s">
        <v>126</v>
      </c>
      <c r="BJ170" s="10" t="str">
        <f t="shared" si="10"/>
        <v>subtropic</v>
      </c>
      <c r="BK170" s="11" t="s">
        <v>164</v>
      </c>
    </row>
    <row r="171" ht="42.75" spans="1:63">
      <c r="A171">
        <v>169</v>
      </c>
      <c r="B171" t="s">
        <v>881</v>
      </c>
      <c r="C171" t="s">
        <v>882</v>
      </c>
      <c r="D171" t="s">
        <v>883</v>
      </c>
      <c r="E171" t="s">
        <v>884</v>
      </c>
      <c r="F171">
        <v>2010</v>
      </c>
      <c r="G171" s="12" t="s">
        <v>885</v>
      </c>
      <c r="H171" t="s">
        <v>68</v>
      </c>
      <c r="I171" s="1">
        <v>24</v>
      </c>
      <c r="J171" s="1">
        <v>115.25</v>
      </c>
      <c r="K171">
        <v>11</v>
      </c>
      <c r="L171" t="s">
        <v>111</v>
      </c>
      <c r="M171" t="str">
        <f t="shared" si="9"/>
        <v>Group C</v>
      </c>
      <c r="N171" s="1" t="s">
        <v>444</v>
      </c>
      <c r="O171" t="s">
        <v>71</v>
      </c>
      <c r="P171" t="s">
        <v>72</v>
      </c>
      <c r="Q171" t="s">
        <v>72</v>
      </c>
      <c r="R171" t="s">
        <v>72</v>
      </c>
      <c r="S171" t="s">
        <v>73</v>
      </c>
      <c r="T171" t="s">
        <v>74</v>
      </c>
      <c r="U171" t="s">
        <v>75</v>
      </c>
      <c r="V171" s="1" t="s">
        <v>172</v>
      </c>
      <c r="X171" s="1" t="s">
        <v>172</v>
      </c>
      <c r="Y171" s="1" t="s">
        <v>172</v>
      </c>
      <c r="Z171" s="1" t="s">
        <v>173</v>
      </c>
      <c r="AA171" s="13">
        <v>275</v>
      </c>
      <c r="AB171" s="13" t="s">
        <v>93</v>
      </c>
      <c r="AC171" s="13" t="s">
        <v>94</v>
      </c>
      <c r="AD171" s="3">
        <v>21.769</v>
      </c>
      <c r="AE171" s="3">
        <v>3</v>
      </c>
      <c r="AF171" s="3">
        <v>3.614</v>
      </c>
      <c r="AG171" s="4">
        <v>10.668</v>
      </c>
      <c r="AH171" s="3">
        <v>4</v>
      </c>
      <c r="AI171" s="3">
        <v>8.921</v>
      </c>
      <c r="BH171" s="9" t="s">
        <v>82</v>
      </c>
      <c r="BI171" s="9" t="s">
        <v>82</v>
      </c>
      <c r="BJ171" s="10" t="str">
        <f t="shared" si="10"/>
        <v>subtropic</v>
      </c>
      <c r="BK171" s="11" t="s">
        <v>137</v>
      </c>
    </row>
    <row r="172" ht="28.5" spans="1:63">
      <c r="A172">
        <v>170</v>
      </c>
      <c r="B172" t="s">
        <v>886</v>
      </c>
      <c r="C172" t="s">
        <v>887</v>
      </c>
      <c r="D172" t="s">
        <v>888</v>
      </c>
      <c r="E172" t="s">
        <v>889</v>
      </c>
      <c r="F172">
        <v>2008</v>
      </c>
      <c r="G172" s="12" t="s">
        <v>890</v>
      </c>
      <c r="H172" t="s">
        <v>276</v>
      </c>
      <c r="I172">
        <v>39.084</v>
      </c>
      <c r="J172">
        <v>-122.8084</v>
      </c>
      <c r="K172">
        <v>8</v>
      </c>
      <c r="L172" t="s">
        <v>891</v>
      </c>
      <c r="M172" t="str">
        <f t="shared" si="9"/>
        <v>Group C</v>
      </c>
      <c r="N172" t="s">
        <v>182</v>
      </c>
      <c r="O172" t="s">
        <v>183</v>
      </c>
      <c r="P172" t="s">
        <v>72</v>
      </c>
      <c r="Q172" t="s">
        <v>72</v>
      </c>
      <c r="R172" t="s">
        <v>72</v>
      </c>
      <c r="S172" t="s">
        <v>73</v>
      </c>
      <c r="T172" t="s">
        <v>74</v>
      </c>
      <c r="U172" t="s">
        <v>75</v>
      </c>
      <c r="V172" s="1" t="s">
        <v>117</v>
      </c>
      <c r="W172" s="1" t="s">
        <v>77</v>
      </c>
      <c r="X172" s="1" t="s">
        <v>117</v>
      </c>
      <c r="Y172" s="1" t="s">
        <v>117</v>
      </c>
      <c r="Z172" s="1" t="s">
        <v>118</v>
      </c>
      <c r="AA172" s="13">
        <v>61.7</v>
      </c>
      <c r="AB172" s="13" t="s">
        <v>119</v>
      </c>
      <c r="AC172" s="13" t="s">
        <v>80</v>
      </c>
      <c r="AD172" s="3">
        <v>13</v>
      </c>
      <c r="AE172" s="3">
        <v>14</v>
      </c>
      <c r="AF172" s="3">
        <v>5.386</v>
      </c>
      <c r="AG172" s="4">
        <v>9</v>
      </c>
      <c r="AH172" s="3">
        <v>16</v>
      </c>
      <c r="AI172" s="3">
        <v>4.264</v>
      </c>
      <c r="AJ172" s="5" t="s">
        <v>81</v>
      </c>
      <c r="AK172" s="14">
        <v>1.92</v>
      </c>
      <c r="AL172" s="14">
        <v>14</v>
      </c>
      <c r="AM172" s="14">
        <v>0.396</v>
      </c>
      <c r="AN172" s="14">
        <v>1.38</v>
      </c>
      <c r="AO172" s="14">
        <v>16</v>
      </c>
      <c r="AP172" s="14">
        <v>0.514</v>
      </c>
      <c r="BH172" s="9" t="s">
        <v>892</v>
      </c>
      <c r="BI172" s="9" t="s">
        <v>126</v>
      </c>
      <c r="BJ172" s="10" t="str">
        <f t="shared" si="10"/>
        <v>subtropic</v>
      </c>
      <c r="BK172" s="11" t="s">
        <v>127</v>
      </c>
    </row>
    <row r="173" ht="42.75" spans="1:63">
      <c r="A173">
        <v>171</v>
      </c>
      <c r="B173" t="s">
        <v>893</v>
      </c>
      <c r="C173" t="s">
        <v>894</v>
      </c>
      <c r="D173" t="s">
        <v>895</v>
      </c>
      <c r="E173" t="s">
        <v>896</v>
      </c>
      <c r="F173">
        <v>2007</v>
      </c>
      <c r="G173" s="12" t="s">
        <v>897</v>
      </c>
      <c r="H173" t="s">
        <v>332</v>
      </c>
      <c r="I173">
        <v>45.452</v>
      </c>
      <c r="J173">
        <v>-75.6292</v>
      </c>
      <c r="K173">
        <v>26</v>
      </c>
      <c r="L173" t="s">
        <v>181</v>
      </c>
      <c r="M173" t="str">
        <f t="shared" si="9"/>
        <v>Group D</v>
      </c>
      <c r="N173" t="s">
        <v>182</v>
      </c>
      <c r="O173" t="s">
        <v>183</v>
      </c>
      <c r="P173" t="s">
        <v>277</v>
      </c>
      <c r="Q173" t="s">
        <v>278</v>
      </c>
      <c r="R173" t="s">
        <v>277</v>
      </c>
      <c r="S173" t="s">
        <v>279</v>
      </c>
      <c r="T173" t="s">
        <v>280</v>
      </c>
      <c r="U173" t="s">
        <v>75</v>
      </c>
      <c r="V173" s="1" t="s">
        <v>389</v>
      </c>
      <c r="X173" s="1" t="s">
        <v>284</v>
      </c>
      <c r="Y173" s="1" t="s">
        <v>281</v>
      </c>
      <c r="Z173" s="1" t="s">
        <v>390</v>
      </c>
      <c r="AA173" s="13">
        <v>116.6</v>
      </c>
      <c r="AB173" s="13" t="s">
        <v>174</v>
      </c>
      <c r="AC173" s="13" t="s">
        <v>94</v>
      </c>
      <c r="AD173" s="3">
        <v>5.093</v>
      </c>
      <c r="AE173" s="3">
        <v>9</v>
      </c>
      <c r="AF173" s="3">
        <v>0.8447</v>
      </c>
      <c r="AG173" s="4">
        <v>2.108</v>
      </c>
      <c r="AH173" s="3">
        <v>10</v>
      </c>
      <c r="AI173" s="3">
        <v>0.809</v>
      </c>
      <c r="BH173" s="9" t="s">
        <v>82</v>
      </c>
      <c r="BI173" s="9" t="s">
        <v>82</v>
      </c>
      <c r="BJ173" s="10" t="str">
        <f t="shared" si="10"/>
        <v>temperate</v>
      </c>
      <c r="BK173" s="11" t="s">
        <v>127</v>
      </c>
    </row>
    <row r="174" ht="42.75" spans="1:63">
      <c r="A174">
        <v>172</v>
      </c>
      <c r="B174" t="s">
        <v>898</v>
      </c>
      <c r="C174" t="s">
        <v>899</v>
      </c>
      <c r="D174" t="s">
        <v>900</v>
      </c>
      <c r="E174" t="s">
        <v>901</v>
      </c>
      <c r="F174">
        <v>2006</v>
      </c>
      <c r="G174" s="12" t="s">
        <v>902</v>
      </c>
      <c r="H174" t="s">
        <v>276</v>
      </c>
      <c r="I174">
        <v>41.3267</v>
      </c>
      <c r="J174">
        <v>-72.8043</v>
      </c>
      <c r="K174">
        <v>25</v>
      </c>
      <c r="L174" t="s">
        <v>216</v>
      </c>
      <c r="M174" t="str">
        <f t="shared" si="9"/>
        <v>Group D</v>
      </c>
      <c r="N174" t="s">
        <v>182</v>
      </c>
      <c r="O174" t="s">
        <v>183</v>
      </c>
      <c r="P174" t="s">
        <v>147</v>
      </c>
      <c r="Q174" t="s">
        <v>72</v>
      </c>
      <c r="R174" t="s">
        <v>147</v>
      </c>
      <c r="S174" t="s">
        <v>148</v>
      </c>
      <c r="T174" t="s">
        <v>74</v>
      </c>
      <c r="U174" t="s">
        <v>75</v>
      </c>
      <c r="V174" s="1" t="s">
        <v>172</v>
      </c>
      <c r="X174" s="1" t="s">
        <v>172</v>
      </c>
      <c r="Y174" s="1" t="s">
        <v>286</v>
      </c>
      <c r="Z174" s="1" t="s">
        <v>287</v>
      </c>
      <c r="AA174" s="13">
        <v>16</v>
      </c>
      <c r="AB174" s="13" t="s">
        <v>79</v>
      </c>
      <c r="AC174" s="13" t="s">
        <v>80</v>
      </c>
      <c r="AD174" s="3">
        <v>15.246</v>
      </c>
      <c r="AE174" s="3">
        <v>3</v>
      </c>
      <c r="AF174" s="3">
        <v>0.912</v>
      </c>
      <c r="AG174" s="4">
        <v>5.3</v>
      </c>
      <c r="AH174" s="3">
        <v>3</v>
      </c>
      <c r="AI174" s="3">
        <v>2.007</v>
      </c>
      <c r="BH174" s="9" t="s">
        <v>82</v>
      </c>
      <c r="BI174" s="9" t="s">
        <v>82</v>
      </c>
      <c r="BJ174" s="10" t="str">
        <f t="shared" si="10"/>
        <v>temperate</v>
      </c>
      <c r="BK174" s="11" t="s">
        <v>127</v>
      </c>
    </row>
    <row r="175" ht="42.75" spans="1:63">
      <c r="A175">
        <v>173</v>
      </c>
      <c r="B175" t="s">
        <v>903</v>
      </c>
      <c r="C175" t="s">
        <v>904</v>
      </c>
      <c r="D175" t="s">
        <v>905</v>
      </c>
      <c r="E175" t="s">
        <v>906</v>
      </c>
      <c r="F175">
        <v>2006</v>
      </c>
      <c r="G175" s="12" t="s">
        <v>907</v>
      </c>
      <c r="H175" t="s">
        <v>145</v>
      </c>
      <c r="I175">
        <v>-27.5833</v>
      </c>
      <c r="J175">
        <v>-48.5833</v>
      </c>
      <c r="K175">
        <v>14</v>
      </c>
      <c r="L175" t="s">
        <v>89</v>
      </c>
      <c r="M175" t="str">
        <f t="shared" si="9"/>
        <v>Group C</v>
      </c>
      <c r="N175" t="s">
        <v>444</v>
      </c>
      <c r="O175" t="s">
        <v>146</v>
      </c>
      <c r="P175" t="s">
        <v>72</v>
      </c>
      <c r="Q175" t="s">
        <v>72</v>
      </c>
      <c r="R175" t="s">
        <v>72</v>
      </c>
      <c r="S175" t="s">
        <v>73</v>
      </c>
      <c r="T175" t="s">
        <v>74</v>
      </c>
      <c r="U175" t="s">
        <v>75</v>
      </c>
      <c r="V175" s="1" t="s">
        <v>908</v>
      </c>
      <c r="X175" s="1" t="s">
        <v>172</v>
      </c>
      <c r="Y175" s="1" t="s">
        <v>286</v>
      </c>
      <c r="Z175" s="1" t="s">
        <v>287</v>
      </c>
      <c r="AA175" s="13">
        <v>39</v>
      </c>
      <c r="AB175" s="13" t="s">
        <v>79</v>
      </c>
      <c r="AC175" s="13" t="s">
        <v>80</v>
      </c>
      <c r="AD175" s="20">
        <v>5.355</v>
      </c>
      <c r="AE175" s="3">
        <v>3</v>
      </c>
      <c r="AF175" s="20">
        <v>1.508</v>
      </c>
      <c r="AG175" s="3">
        <v>3.341</v>
      </c>
      <c r="AH175" s="3">
        <v>3</v>
      </c>
      <c r="AI175" s="20">
        <v>1.157</v>
      </c>
      <c r="BH175" s="9" t="s">
        <v>153</v>
      </c>
      <c r="BI175" s="9" t="s">
        <v>126</v>
      </c>
      <c r="BJ175" s="10" t="str">
        <f t="shared" si="10"/>
        <v>subtropic</v>
      </c>
      <c r="BK175" s="11" t="s">
        <v>164</v>
      </c>
    </row>
    <row r="176" ht="42.75" spans="1:63">
      <c r="A176">
        <v>174</v>
      </c>
      <c r="B176" t="s">
        <v>903</v>
      </c>
      <c r="C176" t="s">
        <v>904</v>
      </c>
      <c r="D176" t="s">
        <v>909</v>
      </c>
      <c r="E176" t="s">
        <v>906</v>
      </c>
      <c r="F176">
        <v>2006</v>
      </c>
      <c r="G176" s="12" t="s">
        <v>907</v>
      </c>
      <c r="H176" t="s">
        <v>145</v>
      </c>
      <c r="I176">
        <v>-27.5833</v>
      </c>
      <c r="J176">
        <v>-48.5833</v>
      </c>
      <c r="K176">
        <v>14</v>
      </c>
      <c r="L176" t="s">
        <v>89</v>
      </c>
      <c r="M176" t="str">
        <f t="shared" si="9"/>
        <v>Group C</v>
      </c>
      <c r="N176" t="s">
        <v>444</v>
      </c>
      <c r="O176" t="s">
        <v>146</v>
      </c>
      <c r="P176" t="s">
        <v>72</v>
      </c>
      <c r="Q176" t="s">
        <v>72</v>
      </c>
      <c r="R176" t="s">
        <v>72</v>
      </c>
      <c r="S176" t="s">
        <v>73</v>
      </c>
      <c r="T176" t="s">
        <v>74</v>
      </c>
      <c r="U176" t="s">
        <v>75</v>
      </c>
      <c r="V176" s="1" t="s">
        <v>908</v>
      </c>
      <c r="X176" s="1" t="s">
        <v>172</v>
      </c>
      <c r="Y176" s="1" t="s">
        <v>286</v>
      </c>
      <c r="Z176" s="1" t="s">
        <v>287</v>
      </c>
      <c r="AA176" s="13">
        <v>39</v>
      </c>
      <c r="AB176" s="13" t="s">
        <v>79</v>
      </c>
      <c r="AC176" s="13" t="s">
        <v>80</v>
      </c>
      <c r="AD176" s="3">
        <v>4.679</v>
      </c>
      <c r="AE176" s="3">
        <v>3</v>
      </c>
      <c r="AF176" s="3">
        <v>2.041</v>
      </c>
      <c r="AG176" s="4">
        <v>0.663</v>
      </c>
      <c r="AH176" s="3">
        <v>3</v>
      </c>
      <c r="AI176" s="3">
        <v>0.572</v>
      </c>
      <c r="BH176" s="9" t="s">
        <v>153</v>
      </c>
      <c r="BI176" s="9" t="s">
        <v>126</v>
      </c>
      <c r="BJ176" s="10" t="str">
        <f t="shared" si="10"/>
        <v>subtropic</v>
      </c>
      <c r="BK176" s="11" t="s">
        <v>164</v>
      </c>
    </row>
    <row r="177" ht="42.75" spans="1:63">
      <c r="A177">
        <v>175</v>
      </c>
      <c r="B177" t="s">
        <v>903</v>
      </c>
      <c r="C177" t="s">
        <v>904</v>
      </c>
      <c r="D177" t="s">
        <v>910</v>
      </c>
      <c r="E177" t="s">
        <v>906</v>
      </c>
      <c r="F177">
        <v>2006</v>
      </c>
      <c r="G177" s="12" t="s">
        <v>907</v>
      </c>
      <c r="H177" t="s">
        <v>145</v>
      </c>
      <c r="I177">
        <v>-27.5833</v>
      </c>
      <c r="J177">
        <v>-48.5833</v>
      </c>
      <c r="K177">
        <v>14</v>
      </c>
      <c r="L177" t="s">
        <v>89</v>
      </c>
      <c r="M177" t="str">
        <f t="shared" si="9"/>
        <v>Group C</v>
      </c>
      <c r="N177" t="s">
        <v>444</v>
      </c>
      <c r="O177" t="s">
        <v>146</v>
      </c>
      <c r="P177" t="s">
        <v>72</v>
      </c>
      <c r="Q177" t="s">
        <v>72</v>
      </c>
      <c r="R177" t="s">
        <v>72</v>
      </c>
      <c r="S177" t="s">
        <v>73</v>
      </c>
      <c r="T177" t="s">
        <v>74</v>
      </c>
      <c r="U177" t="s">
        <v>75</v>
      </c>
      <c r="V177" s="1" t="s">
        <v>908</v>
      </c>
      <c r="X177" s="1" t="s">
        <v>172</v>
      </c>
      <c r="Y177" s="1" t="s">
        <v>286</v>
      </c>
      <c r="Z177" s="1" t="s">
        <v>287</v>
      </c>
      <c r="AA177" s="13">
        <v>39</v>
      </c>
      <c r="AB177" s="13" t="s">
        <v>79</v>
      </c>
      <c r="AC177" s="13" t="s">
        <v>80</v>
      </c>
      <c r="AD177" s="4">
        <v>6.356</v>
      </c>
      <c r="AE177" s="3">
        <v>3</v>
      </c>
      <c r="AF177" s="4">
        <v>1.495</v>
      </c>
      <c r="AG177" s="4">
        <v>3.666</v>
      </c>
      <c r="AH177" s="3">
        <v>3</v>
      </c>
      <c r="AI177" s="4">
        <v>0.546</v>
      </c>
      <c r="BH177" s="9" t="s">
        <v>153</v>
      </c>
      <c r="BI177" s="9" t="s">
        <v>126</v>
      </c>
      <c r="BJ177" s="10" t="str">
        <f t="shared" si="10"/>
        <v>subtropic</v>
      </c>
      <c r="BK177" s="11" t="s">
        <v>164</v>
      </c>
    </row>
    <row r="178" ht="42.75" spans="1:63">
      <c r="A178">
        <v>176</v>
      </c>
      <c r="B178" t="s">
        <v>911</v>
      </c>
      <c r="C178" t="s">
        <v>912</v>
      </c>
      <c r="D178" t="s">
        <v>913</v>
      </c>
      <c r="E178" t="s">
        <v>914</v>
      </c>
      <c r="F178">
        <v>2005</v>
      </c>
      <c r="G178" s="12" t="s">
        <v>915</v>
      </c>
      <c r="H178" t="s">
        <v>276</v>
      </c>
      <c r="I178">
        <v>40.7934</v>
      </c>
      <c r="J178">
        <v>-77.86</v>
      </c>
      <c r="K178">
        <v>25</v>
      </c>
      <c r="L178" t="s">
        <v>216</v>
      </c>
      <c r="M178" t="str">
        <f t="shared" si="9"/>
        <v>Group D</v>
      </c>
      <c r="N178" t="s">
        <v>182</v>
      </c>
      <c r="O178" t="s">
        <v>183</v>
      </c>
      <c r="P178" t="s">
        <v>916</v>
      </c>
      <c r="Q178" t="s">
        <v>267</v>
      </c>
      <c r="R178" t="s">
        <v>340</v>
      </c>
      <c r="S178" t="s">
        <v>495</v>
      </c>
      <c r="T178" t="s">
        <v>74</v>
      </c>
      <c r="U178" t="s">
        <v>75</v>
      </c>
      <c r="V178" s="1" t="s">
        <v>284</v>
      </c>
      <c r="X178" s="1" t="s">
        <v>284</v>
      </c>
      <c r="Y178" s="1" t="s">
        <v>281</v>
      </c>
      <c r="Z178" s="1" t="s">
        <v>390</v>
      </c>
      <c r="AA178" s="13">
        <v>27.7</v>
      </c>
      <c r="AB178" s="13" t="s">
        <v>79</v>
      </c>
      <c r="AC178" s="13" t="s">
        <v>80</v>
      </c>
      <c r="AD178" s="3">
        <v>3</v>
      </c>
      <c r="AE178" s="3">
        <v>14</v>
      </c>
      <c r="AF178" s="3">
        <v>1.347</v>
      </c>
      <c r="AG178" s="4">
        <v>1.61</v>
      </c>
      <c r="AH178" s="3">
        <v>18</v>
      </c>
      <c r="AI178" s="3">
        <v>1.358</v>
      </c>
      <c r="BH178" s="9" t="s">
        <v>82</v>
      </c>
      <c r="BI178" s="9" t="s">
        <v>82</v>
      </c>
      <c r="BJ178" s="10" t="str">
        <f t="shared" si="10"/>
        <v>temperate</v>
      </c>
      <c r="BK178" s="11" t="s">
        <v>164</v>
      </c>
    </row>
    <row r="179" ht="42.75" spans="1:63">
      <c r="A179">
        <v>177</v>
      </c>
      <c r="B179" t="s">
        <v>917</v>
      </c>
      <c r="C179" t="s">
        <v>918</v>
      </c>
      <c r="D179" t="s">
        <v>919</v>
      </c>
      <c r="E179" t="s">
        <v>920</v>
      </c>
      <c r="F179">
        <v>2005</v>
      </c>
      <c r="G179" t="s">
        <v>921</v>
      </c>
      <c r="H179" t="s">
        <v>276</v>
      </c>
      <c r="I179">
        <v>40.41</v>
      </c>
      <c r="J179">
        <v>-105.11</v>
      </c>
      <c r="K179">
        <v>7</v>
      </c>
      <c r="L179" t="s">
        <v>494</v>
      </c>
      <c r="M179" t="str">
        <f t="shared" si="9"/>
        <v>Group B</v>
      </c>
      <c r="N179" t="s">
        <v>182</v>
      </c>
      <c r="O179" t="s">
        <v>183</v>
      </c>
      <c r="P179" t="s">
        <v>72</v>
      </c>
      <c r="Q179" t="s">
        <v>72</v>
      </c>
      <c r="R179" t="s">
        <v>72</v>
      </c>
      <c r="S179" t="s">
        <v>73</v>
      </c>
      <c r="T179" t="s">
        <v>74</v>
      </c>
      <c r="U179" t="s">
        <v>75</v>
      </c>
      <c r="V179" s="1" t="s">
        <v>172</v>
      </c>
      <c r="X179" s="1" t="s">
        <v>172</v>
      </c>
      <c r="Y179" s="1" t="s">
        <v>172</v>
      </c>
      <c r="Z179" s="1" t="s">
        <v>173</v>
      </c>
      <c r="AA179" s="13">
        <v>15</v>
      </c>
      <c r="AB179" s="13" t="s">
        <v>79</v>
      </c>
      <c r="AC179" s="13" t="s">
        <v>80</v>
      </c>
      <c r="AD179" s="3">
        <v>23.9</v>
      </c>
      <c r="AE179" s="3">
        <v>3</v>
      </c>
      <c r="AF179" s="3">
        <v>12</v>
      </c>
      <c r="AG179" s="4">
        <v>17.1</v>
      </c>
      <c r="AH179" s="3">
        <v>3</v>
      </c>
      <c r="AI179" s="3">
        <v>4.55</v>
      </c>
      <c r="BH179" s="9" t="s">
        <v>82</v>
      </c>
      <c r="BI179" s="9" t="s">
        <v>82</v>
      </c>
      <c r="BJ179" s="10" t="str">
        <f t="shared" si="10"/>
        <v>temperate</v>
      </c>
      <c r="BK179" s="11" t="s">
        <v>137</v>
      </c>
    </row>
    <row r="180" ht="28.5" spans="1:63">
      <c r="A180">
        <v>178</v>
      </c>
      <c r="B180" t="s">
        <v>922</v>
      </c>
      <c r="C180" t="s">
        <v>923</v>
      </c>
      <c r="D180" t="s">
        <v>924</v>
      </c>
      <c r="E180" t="s">
        <v>925</v>
      </c>
      <c r="F180">
        <v>2002</v>
      </c>
      <c r="G180" t="s">
        <v>921</v>
      </c>
      <c r="H180" t="s">
        <v>926</v>
      </c>
      <c r="I180" s="1">
        <v>58.36</v>
      </c>
      <c r="J180" s="1">
        <v>15.7</v>
      </c>
      <c r="K180">
        <v>26</v>
      </c>
      <c r="L180" t="s">
        <v>181</v>
      </c>
      <c r="M180" t="str">
        <f t="shared" si="9"/>
        <v>Group D</v>
      </c>
      <c r="N180" s="1" t="s">
        <v>182</v>
      </c>
      <c r="O180" t="s">
        <v>183</v>
      </c>
      <c r="P180" t="s">
        <v>927</v>
      </c>
      <c r="Q180" t="s">
        <v>278</v>
      </c>
      <c r="R180" t="s">
        <v>340</v>
      </c>
      <c r="S180" t="s">
        <v>495</v>
      </c>
      <c r="T180" t="s">
        <v>74</v>
      </c>
      <c r="U180" t="s">
        <v>75</v>
      </c>
      <c r="V180" s="1" t="s">
        <v>531</v>
      </c>
      <c r="X180" s="1" t="s">
        <v>172</v>
      </c>
      <c r="Y180" s="1" t="s">
        <v>324</v>
      </c>
      <c r="Z180" s="1" t="s">
        <v>325</v>
      </c>
      <c r="AA180" s="13">
        <v>13.1</v>
      </c>
      <c r="AB180" s="13" t="s">
        <v>79</v>
      </c>
      <c r="AC180" s="13" t="s">
        <v>80</v>
      </c>
      <c r="AD180" s="3">
        <v>13</v>
      </c>
      <c r="AE180" s="3">
        <v>4</v>
      </c>
      <c r="AF180" s="3">
        <v>12.19</v>
      </c>
      <c r="AG180" s="4">
        <v>12.25</v>
      </c>
      <c r="AH180" s="3">
        <v>4</v>
      </c>
      <c r="AI180" s="3">
        <v>6.4</v>
      </c>
      <c r="BH180" s="9" t="s">
        <v>82</v>
      </c>
      <c r="BI180" s="9" t="s">
        <v>82</v>
      </c>
      <c r="BJ180" s="10" t="str">
        <f t="shared" si="10"/>
        <v>temperate</v>
      </c>
      <c r="BK180" s="11" t="s">
        <v>127</v>
      </c>
    </row>
    <row r="181" ht="42.75" spans="1:63">
      <c r="A181">
        <v>179</v>
      </c>
      <c r="B181" t="s">
        <v>928</v>
      </c>
      <c r="C181" t="s">
        <v>929</v>
      </c>
      <c r="D181" t="s">
        <v>930</v>
      </c>
      <c r="E181" t="s">
        <v>931</v>
      </c>
      <c r="F181">
        <v>2025</v>
      </c>
      <c r="G181" s="26" t="s">
        <v>932</v>
      </c>
      <c r="H181" t="s">
        <v>522</v>
      </c>
      <c r="I181">
        <v>-33</v>
      </c>
      <c r="J181">
        <v>-71.5</v>
      </c>
      <c r="K181">
        <v>9</v>
      </c>
      <c r="L181" t="s">
        <v>171</v>
      </c>
      <c r="M181" t="str">
        <f t="shared" si="9"/>
        <v>Group C</v>
      </c>
      <c r="N181" t="s">
        <v>182</v>
      </c>
      <c r="O181" t="s">
        <v>146</v>
      </c>
      <c r="P181" t="s">
        <v>112</v>
      </c>
      <c r="Q181" t="s">
        <v>113</v>
      </c>
      <c r="R181" t="s">
        <v>114</v>
      </c>
      <c r="S181" t="s">
        <v>115</v>
      </c>
      <c r="T181" t="s">
        <v>116</v>
      </c>
      <c r="U181" t="s">
        <v>75</v>
      </c>
      <c r="V181" s="1" t="s">
        <v>76</v>
      </c>
      <c r="W181" s="1" t="s">
        <v>239</v>
      </c>
      <c r="X181" s="1" t="s">
        <v>76</v>
      </c>
      <c r="Y181" s="1" t="s">
        <v>76</v>
      </c>
      <c r="Z181" s="1" t="s">
        <v>78</v>
      </c>
      <c r="AA181" s="13">
        <v>160.6</v>
      </c>
      <c r="AB181" s="13" t="s">
        <v>174</v>
      </c>
      <c r="AC181" s="13" t="s">
        <v>94</v>
      </c>
      <c r="AD181" s="3">
        <v>85</v>
      </c>
      <c r="AE181" s="3">
        <v>4</v>
      </c>
      <c r="AF181" s="3">
        <v>17.77</v>
      </c>
      <c r="AG181" s="4">
        <v>64.75</v>
      </c>
      <c r="AH181" s="3">
        <v>4</v>
      </c>
      <c r="AI181" s="3">
        <v>18.38</v>
      </c>
      <c r="BH181" s="9" t="s">
        <v>209</v>
      </c>
      <c r="BI181" s="9" t="s">
        <v>126</v>
      </c>
      <c r="BJ181" s="10" t="str">
        <f t="shared" si="10"/>
        <v>subtropic</v>
      </c>
      <c r="BK181" s="11" t="s">
        <v>137</v>
      </c>
    </row>
    <row r="182" ht="28.5" spans="1:63">
      <c r="A182">
        <v>180</v>
      </c>
      <c r="B182" t="s">
        <v>933</v>
      </c>
      <c r="C182" t="s">
        <v>934</v>
      </c>
      <c r="D182" t="s">
        <v>935</v>
      </c>
      <c r="E182" t="s">
        <v>936</v>
      </c>
      <c r="F182">
        <v>2025</v>
      </c>
      <c r="G182" s="26" t="s">
        <v>937</v>
      </c>
      <c r="H182" t="s">
        <v>938</v>
      </c>
      <c r="I182">
        <v>38.5</v>
      </c>
      <c r="J182">
        <v>26.91</v>
      </c>
      <c r="K182">
        <v>8</v>
      </c>
      <c r="L182" t="s">
        <v>891</v>
      </c>
      <c r="M182" t="str">
        <f t="shared" si="9"/>
        <v>Group C</v>
      </c>
      <c r="N182" t="s">
        <v>70</v>
      </c>
      <c r="O182" t="s">
        <v>776</v>
      </c>
      <c r="P182" t="s">
        <v>939</v>
      </c>
      <c r="Q182" t="s">
        <v>227</v>
      </c>
      <c r="R182" t="s">
        <v>227</v>
      </c>
      <c r="S182" t="s">
        <v>227</v>
      </c>
      <c r="T182" t="s">
        <v>939</v>
      </c>
      <c r="U182" t="s">
        <v>75</v>
      </c>
      <c r="V182" s="1" t="s">
        <v>76</v>
      </c>
      <c r="W182" s="1" t="s">
        <v>77</v>
      </c>
      <c r="X182" s="1" t="s">
        <v>76</v>
      </c>
      <c r="Y182" s="1" t="s">
        <v>76</v>
      </c>
      <c r="Z182" s="1" t="s">
        <v>78</v>
      </c>
      <c r="AA182" s="13">
        <v>30.7</v>
      </c>
      <c r="AB182" s="13" t="s">
        <v>79</v>
      </c>
      <c r="AC182" s="13" t="s">
        <v>80</v>
      </c>
      <c r="AD182" s="3">
        <v>10.01</v>
      </c>
      <c r="AE182" s="3">
        <v>10</v>
      </c>
      <c r="AF182" s="3">
        <v>3.514</v>
      </c>
      <c r="AG182" s="4">
        <v>9</v>
      </c>
      <c r="AH182" s="3">
        <v>10</v>
      </c>
      <c r="AI182" s="3">
        <v>3.496</v>
      </c>
      <c r="AJ182" s="5" t="s">
        <v>81</v>
      </c>
      <c r="AK182" s="14">
        <v>0.608</v>
      </c>
      <c r="AL182" s="14">
        <v>10</v>
      </c>
      <c r="AM182" s="14">
        <v>0.383</v>
      </c>
      <c r="AN182" s="14">
        <v>0.779</v>
      </c>
      <c r="AO182" s="14">
        <v>10</v>
      </c>
      <c r="AP182" s="14">
        <v>0.136</v>
      </c>
      <c r="BH182" s="9" t="s">
        <v>940</v>
      </c>
      <c r="BI182" s="9" t="s">
        <v>126</v>
      </c>
      <c r="BJ182" s="10" t="str">
        <f t="shared" si="10"/>
        <v>subtropic</v>
      </c>
      <c r="BK182" s="11" t="s">
        <v>164</v>
      </c>
    </row>
    <row r="183" ht="42.75" spans="1:63">
      <c r="A183">
        <v>181</v>
      </c>
      <c r="B183" t="s">
        <v>933</v>
      </c>
      <c r="C183" t="s">
        <v>934</v>
      </c>
      <c r="D183" t="s">
        <v>935</v>
      </c>
      <c r="E183" t="s">
        <v>936</v>
      </c>
      <c r="F183">
        <v>2025</v>
      </c>
      <c r="G183" s="26" t="s">
        <v>937</v>
      </c>
      <c r="H183" t="s">
        <v>938</v>
      </c>
      <c r="I183">
        <v>38.5</v>
      </c>
      <c r="J183">
        <v>26.91</v>
      </c>
      <c r="K183">
        <v>8</v>
      </c>
      <c r="L183" t="s">
        <v>891</v>
      </c>
      <c r="M183" t="str">
        <f t="shared" si="9"/>
        <v>Group C</v>
      </c>
      <c r="N183" t="s">
        <v>70</v>
      </c>
      <c r="O183" t="s">
        <v>776</v>
      </c>
      <c r="P183" t="s">
        <v>939</v>
      </c>
      <c r="Q183" t="s">
        <v>227</v>
      </c>
      <c r="R183" t="s">
        <v>227</v>
      </c>
      <c r="S183" t="s">
        <v>227</v>
      </c>
      <c r="T183" t="s">
        <v>939</v>
      </c>
      <c r="U183" t="s">
        <v>75</v>
      </c>
      <c r="V183" s="1" t="s">
        <v>941</v>
      </c>
      <c r="W183" s="1" t="s">
        <v>77</v>
      </c>
      <c r="X183" s="1" t="s">
        <v>227</v>
      </c>
      <c r="Y183" s="1" t="s">
        <v>281</v>
      </c>
      <c r="Z183" s="1" t="s">
        <v>390</v>
      </c>
      <c r="AA183" s="13">
        <v>30.7</v>
      </c>
      <c r="AB183" s="13" t="s">
        <v>79</v>
      </c>
      <c r="AC183" s="13" t="s">
        <v>80</v>
      </c>
      <c r="AD183" s="3">
        <v>1.4</v>
      </c>
      <c r="AE183" s="3">
        <v>10</v>
      </c>
      <c r="AF183" s="3">
        <v>0.699</v>
      </c>
      <c r="AG183" s="4">
        <v>0.7</v>
      </c>
      <c r="AH183" s="3">
        <v>10</v>
      </c>
      <c r="AI183" s="3">
        <v>0.419</v>
      </c>
      <c r="BH183" s="9" t="s">
        <v>940</v>
      </c>
      <c r="BI183" s="9" t="s">
        <v>126</v>
      </c>
      <c r="BJ183" s="10" t="str">
        <f t="shared" si="10"/>
        <v>subtropic</v>
      </c>
      <c r="BK183" s="11" t="s">
        <v>164</v>
      </c>
    </row>
    <row r="184" ht="57" spans="1:63">
      <c r="A184">
        <v>182</v>
      </c>
      <c r="B184" t="s">
        <v>942</v>
      </c>
      <c r="C184" t="s">
        <v>943</v>
      </c>
      <c r="D184" t="s">
        <v>944</v>
      </c>
      <c r="E184" t="s">
        <v>945</v>
      </c>
      <c r="F184">
        <v>2025</v>
      </c>
      <c r="G184" s="26" t="s">
        <v>946</v>
      </c>
      <c r="H184" t="s">
        <v>68</v>
      </c>
      <c r="I184">
        <v>23.8</v>
      </c>
      <c r="J184">
        <v>114</v>
      </c>
      <c r="K184">
        <v>11</v>
      </c>
      <c r="L184" t="s">
        <v>111</v>
      </c>
      <c r="M184" t="str">
        <f t="shared" si="9"/>
        <v>Group C</v>
      </c>
      <c r="N184" t="s">
        <v>70</v>
      </c>
      <c r="O184" t="s">
        <v>71</v>
      </c>
      <c r="P184" t="s">
        <v>72</v>
      </c>
      <c r="Q184" t="s">
        <v>72</v>
      </c>
      <c r="R184" t="s">
        <v>72</v>
      </c>
      <c r="S184" t="s">
        <v>73</v>
      </c>
      <c r="T184" t="s">
        <v>74</v>
      </c>
      <c r="U184" t="s">
        <v>90</v>
      </c>
      <c r="V184" s="1" t="s">
        <v>342</v>
      </c>
      <c r="X184" s="1" t="s">
        <v>240</v>
      </c>
      <c r="Y184" s="1" t="s">
        <v>241</v>
      </c>
      <c r="Z184" s="1" t="s">
        <v>241</v>
      </c>
      <c r="AA184" s="13">
        <v>74</v>
      </c>
      <c r="AB184" s="13" t="s">
        <v>119</v>
      </c>
      <c r="AC184" s="13" t="s">
        <v>80</v>
      </c>
      <c r="AJ184" s="5" t="s">
        <v>81</v>
      </c>
      <c r="AK184" s="14">
        <v>4.863</v>
      </c>
      <c r="AL184" s="14">
        <v>6</v>
      </c>
      <c r="AM184" s="14">
        <v>0.345</v>
      </c>
      <c r="AN184" s="14">
        <v>5.022</v>
      </c>
      <c r="AO184" s="14">
        <v>17</v>
      </c>
      <c r="AP184" s="14">
        <v>0.364</v>
      </c>
      <c r="AQ184" s="7">
        <v>35</v>
      </c>
      <c r="AR184" s="15" t="s">
        <v>947</v>
      </c>
      <c r="AS184" s="15" t="s">
        <v>948</v>
      </c>
      <c r="AT184" s="7" t="s">
        <v>97</v>
      </c>
      <c r="AU184" s="7">
        <v>0.062076</v>
      </c>
      <c r="AV184" s="7">
        <v>105</v>
      </c>
      <c r="AW184" s="7">
        <v>0.029508</v>
      </c>
      <c r="AX184" s="7">
        <v>0.100682</v>
      </c>
      <c r="AY184" s="7">
        <v>10</v>
      </c>
      <c r="AZ184" s="7">
        <v>0.052373</v>
      </c>
      <c r="BA184" s="7">
        <v>0.084882</v>
      </c>
      <c r="BB184" s="7">
        <v>75</v>
      </c>
      <c r="BC184" s="7">
        <v>0.043926</v>
      </c>
      <c r="BD184" s="29" t="s">
        <v>98</v>
      </c>
      <c r="BE184" s="8" t="s">
        <v>123</v>
      </c>
      <c r="BG184" s="7" t="s">
        <v>101</v>
      </c>
      <c r="BH184" s="9" t="s">
        <v>82</v>
      </c>
      <c r="BI184" s="9" t="s">
        <v>82</v>
      </c>
      <c r="BJ184" s="10" t="str">
        <f t="shared" si="10"/>
        <v>subtropic</v>
      </c>
      <c r="BK184" s="11" t="s">
        <v>127</v>
      </c>
    </row>
    <row r="185" ht="28.5" spans="1:63">
      <c r="A185">
        <v>183</v>
      </c>
      <c r="B185" t="s">
        <v>942</v>
      </c>
      <c r="C185" t="s">
        <v>943</v>
      </c>
      <c r="D185" t="s">
        <v>944</v>
      </c>
      <c r="E185" t="s">
        <v>945</v>
      </c>
      <c r="F185">
        <v>2025</v>
      </c>
      <c r="G185" s="26" t="s">
        <v>946</v>
      </c>
      <c r="H185" t="s">
        <v>68</v>
      </c>
      <c r="I185">
        <v>23.8</v>
      </c>
      <c r="J185">
        <v>114</v>
      </c>
      <c r="K185">
        <v>11</v>
      </c>
      <c r="L185" t="s">
        <v>111</v>
      </c>
      <c r="M185" t="str">
        <f t="shared" si="9"/>
        <v>Group C</v>
      </c>
      <c r="N185" t="s">
        <v>70</v>
      </c>
      <c r="O185" t="s">
        <v>71</v>
      </c>
      <c r="P185" t="s">
        <v>72</v>
      </c>
      <c r="Q185" t="s">
        <v>72</v>
      </c>
      <c r="R185" t="s">
        <v>72</v>
      </c>
      <c r="S185" t="s">
        <v>73</v>
      </c>
      <c r="T185" t="s">
        <v>74</v>
      </c>
      <c r="U185" t="s">
        <v>75</v>
      </c>
      <c r="V185" s="1" t="s">
        <v>344</v>
      </c>
      <c r="X185" s="1" t="s">
        <v>344</v>
      </c>
      <c r="Y185" s="1" t="s">
        <v>344</v>
      </c>
      <c r="Z185" s="1" t="s">
        <v>344</v>
      </c>
      <c r="AA185" s="13">
        <v>74</v>
      </c>
      <c r="AB185" s="13" t="s">
        <v>119</v>
      </c>
      <c r="AC185" s="13" t="s">
        <v>80</v>
      </c>
      <c r="AJ185" s="5" t="s">
        <v>81</v>
      </c>
      <c r="AK185" s="14">
        <v>3.988</v>
      </c>
      <c r="AL185" s="14">
        <v>6</v>
      </c>
      <c r="AM185" s="14">
        <v>0.259</v>
      </c>
      <c r="AN185" s="14">
        <v>4.054</v>
      </c>
      <c r="AO185" s="14">
        <v>17</v>
      </c>
      <c r="AP185" s="14">
        <v>1.355</v>
      </c>
      <c r="AQ185" s="7">
        <v>36</v>
      </c>
      <c r="AR185" s="15" t="s">
        <v>947</v>
      </c>
      <c r="AS185" s="15" t="s">
        <v>948</v>
      </c>
      <c r="AT185" s="7" t="s">
        <v>97</v>
      </c>
      <c r="AU185" s="7">
        <v>0.372485</v>
      </c>
      <c r="AV185" s="7">
        <v>105</v>
      </c>
      <c r="AW185" s="7">
        <v>0.255587</v>
      </c>
      <c r="AX185" s="7">
        <v>0.326183</v>
      </c>
      <c r="AY185" s="7">
        <v>10</v>
      </c>
      <c r="AZ185" s="7">
        <v>0.222609</v>
      </c>
      <c r="BA185" s="7">
        <v>0.326923</v>
      </c>
      <c r="BB185" s="7">
        <v>75</v>
      </c>
      <c r="BC185" s="7">
        <v>0.223694</v>
      </c>
      <c r="BD185" s="29" t="s">
        <v>98</v>
      </c>
      <c r="BE185" s="8" t="s">
        <v>123</v>
      </c>
      <c r="BG185" s="7" t="s">
        <v>101</v>
      </c>
      <c r="BH185" s="9" t="s">
        <v>82</v>
      </c>
      <c r="BI185" s="9" t="s">
        <v>82</v>
      </c>
      <c r="BJ185" s="10" t="str">
        <f t="shared" si="10"/>
        <v>subtropic</v>
      </c>
      <c r="BK185" s="11" t="s">
        <v>127</v>
      </c>
    </row>
    <row r="186" ht="57" spans="1:63">
      <c r="A186">
        <v>184</v>
      </c>
      <c r="B186" t="s">
        <v>942</v>
      </c>
      <c r="C186" t="s">
        <v>943</v>
      </c>
      <c r="D186" t="s">
        <v>944</v>
      </c>
      <c r="E186" t="s">
        <v>945</v>
      </c>
      <c r="F186">
        <v>2025</v>
      </c>
      <c r="G186" s="26" t="s">
        <v>946</v>
      </c>
      <c r="H186" t="s">
        <v>68</v>
      </c>
      <c r="I186">
        <v>23.8</v>
      </c>
      <c r="J186">
        <v>114</v>
      </c>
      <c r="K186">
        <v>11</v>
      </c>
      <c r="L186" t="s">
        <v>111</v>
      </c>
      <c r="M186" t="str">
        <f t="shared" si="9"/>
        <v>Group C</v>
      </c>
      <c r="N186" t="s">
        <v>70</v>
      </c>
      <c r="O186" t="s">
        <v>71</v>
      </c>
      <c r="P186" t="s">
        <v>72</v>
      </c>
      <c r="Q186" t="s">
        <v>72</v>
      </c>
      <c r="R186" t="s">
        <v>72</v>
      </c>
      <c r="S186" t="s">
        <v>73</v>
      </c>
      <c r="T186" t="s">
        <v>74</v>
      </c>
      <c r="U186" t="s">
        <v>90</v>
      </c>
      <c r="V186" s="1" t="s">
        <v>342</v>
      </c>
      <c r="X186" s="1" t="s">
        <v>240</v>
      </c>
      <c r="Y186" s="1" t="s">
        <v>241</v>
      </c>
      <c r="Z186" s="1" t="s">
        <v>241</v>
      </c>
      <c r="AA186" s="13">
        <v>74</v>
      </c>
      <c r="AB186" s="13" t="s">
        <v>119</v>
      </c>
      <c r="AC186" s="13" t="s">
        <v>80</v>
      </c>
      <c r="AJ186" s="5" t="s">
        <v>81</v>
      </c>
      <c r="AK186" s="14">
        <v>3.039</v>
      </c>
      <c r="AL186" s="14">
        <v>6</v>
      </c>
      <c r="AM186" s="14">
        <v>1.164</v>
      </c>
      <c r="AN186" s="14">
        <v>4.303</v>
      </c>
      <c r="AO186" s="14">
        <v>18</v>
      </c>
      <c r="AP186" s="14">
        <v>0.582</v>
      </c>
      <c r="AQ186" s="7">
        <v>57</v>
      </c>
      <c r="AR186" s="15" t="s">
        <v>949</v>
      </c>
      <c r="AS186" s="15" t="s">
        <v>950</v>
      </c>
      <c r="AT186" s="7" t="s">
        <v>97</v>
      </c>
      <c r="AU186" s="7">
        <v>0.149514</v>
      </c>
      <c r="AV186" s="7">
        <v>105</v>
      </c>
      <c r="AW186" s="7">
        <v>0.091513</v>
      </c>
      <c r="AX186" s="7">
        <v>0.098055</v>
      </c>
      <c r="AY186" s="7">
        <v>15</v>
      </c>
      <c r="AZ186" s="7">
        <v>0.061963</v>
      </c>
      <c r="BA186" s="7">
        <v>0.217198</v>
      </c>
      <c r="BB186" s="7">
        <v>90</v>
      </c>
      <c r="BC186" s="7">
        <v>0.086063</v>
      </c>
      <c r="BD186" s="29" t="s">
        <v>98</v>
      </c>
      <c r="BE186" s="8" t="s">
        <v>129</v>
      </c>
      <c r="BG186" s="7" t="s">
        <v>101</v>
      </c>
      <c r="BH186" s="9" t="s">
        <v>82</v>
      </c>
      <c r="BI186" s="9" t="s">
        <v>82</v>
      </c>
      <c r="BJ186" s="10" t="str">
        <f t="shared" si="10"/>
        <v>subtropic</v>
      </c>
      <c r="BK186" s="11" t="s">
        <v>127</v>
      </c>
    </row>
    <row r="187" ht="28.5" spans="1:63">
      <c r="A187">
        <v>185</v>
      </c>
      <c r="B187" t="s">
        <v>942</v>
      </c>
      <c r="C187" t="s">
        <v>943</v>
      </c>
      <c r="D187" t="s">
        <v>944</v>
      </c>
      <c r="E187" t="s">
        <v>945</v>
      </c>
      <c r="F187">
        <v>2025</v>
      </c>
      <c r="G187" s="26" t="s">
        <v>946</v>
      </c>
      <c r="H187" t="s">
        <v>68</v>
      </c>
      <c r="I187">
        <v>23.8</v>
      </c>
      <c r="J187">
        <v>114</v>
      </c>
      <c r="K187">
        <v>11</v>
      </c>
      <c r="L187" t="s">
        <v>111</v>
      </c>
      <c r="M187" t="str">
        <f t="shared" si="9"/>
        <v>Group C</v>
      </c>
      <c r="N187" t="s">
        <v>70</v>
      </c>
      <c r="O187" t="s">
        <v>71</v>
      </c>
      <c r="P187" t="s">
        <v>72</v>
      </c>
      <c r="Q187" t="s">
        <v>72</v>
      </c>
      <c r="R187" t="s">
        <v>72</v>
      </c>
      <c r="S187" t="s">
        <v>73</v>
      </c>
      <c r="T187" t="s">
        <v>74</v>
      </c>
      <c r="U187" t="s">
        <v>75</v>
      </c>
      <c r="V187" s="1" t="s">
        <v>344</v>
      </c>
      <c r="X187" s="1" t="s">
        <v>344</v>
      </c>
      <c r="Y187" s="1" t="s">
        <v>344</v>
      </c>
      <c r="Z187" s="1" t="s">
        <v>344</v>
      </c>
      <c r="AA187" s="13">
        <v>74</v>
      </c>
      <c r="AB187" s="13" t="s">
        <v>119</v>
      </c>
      <c r="AC187" s="13" t="s">
        <v>80</v>
      </c>
      <c r="AJ187" s="5" t="s">
        <v>81</v>
      </c>
      <c r="AK187" s="14">
        <v>3.815</v>
      </c>
      <c r="AL187" s="14">
        <v>6</v>
      </c>
      <c r="AM187" s="14">
        <v>0.231</v>
      </c>
      <c r="AN187" s="14">
        <v>3.139</v>
      </c>
      <c r="AO187" s="14">
        <v>17</v>
      </c>
      <c r="AP187" s="14">
        <v>0.543</v>
      </c>
      <c r="AQ187" s="7">
        <v>24</v>
      </c>
      <c r="AR187" s="15" t="s">
        <v>949</v>
      </c>
      <c r="AS187" s="15" t="s">
        <v>950</v>
      </c>
      <c r="AT187" s="7" t="s">
        <v>97</v>
      </c>
      <c r="AU187" s="7">
        <v>0.380071</v>
      </c>
      <c r="AV187" s="7">
        <v>45</v>
      </c>
      <c r="AW187" s="7">
        <v>0.330574</v>
      </c>
      <c r="AX187" s="7">
        <v>0.043998</v>
      </c>
      <c r="AY187" s="7">
        <v>6</v>
      </c>
      <c r="AZ187" s="7">
        <v>0.02292</v>
      </c>
      <c r="BA187" s="7">
        <v>0.400012</v>
      </c>
      <c r="BB187" s="7">
        <v>40</v>
      </c>
      <c r="BC187" s="7">
        <v>0.196655</v>
      </c>
      <c r="BD187" s="29" t="s">
        <v>98</v>
      </c>
      <c r="BE187" s="8" t="s">
        <v>129</v>
      </c>
      <c r="BG187" s="7" t="s">
        <v>101</v>
      </c>
      <c r="BH187" s="9" t="s">
        <v>82</v>
      </c>
      <c r="BI187" s="9" t="s">
        <v>82</v>
      </c>
      <c r="BJ187" s="10" t="str">
        <f t="shared" si="10"/>
        <v>subtropic</v>
      </c>
      <c r="BK187" s="11" t="s">
        <v>127</v>
      </c>
    </row>
    <row r="188" ht="28.5" spans="1:63">
      <c r="A188">
        <v>186</v>
      </c>
      <c r="B188" t="s">
        <v>951</v>
      </c>
      <c r="C188" t="s">
        <v>952</v>
      </c>
      <c r="D188" t="s">
        <v>953</v>
      </c>
      <c r="E188" t="s">
        <v>954</v>
      </c>
      <c r="F188">
        <v>2025</v>
      </c>
      <c r="G188" s="12" t="s">
        <v>955</v>
      </c>
      <c r="H188" t="s">
        <v>68</v>
      </c>
      <c r="I188">
        <v>32</v>
      </c>
      <c r="J188">
        <v>118.78</v>
      </c>
      <c r="K188">
        <v>14</v>
      </c>
      <c r="L188" t="s">
        <v>89</v>
      </c>
      <c r="M188" t="str">
        <f t="shared" ref="M188:M203" si="11">"Group "&amp;LEFT(L188,1)</f>
        <v>Group C</v>
      </c>
      <c r="N188" t="s">
        <v>70</v>
      </c>
      <c r="O188" t="s">
        <v>71</v>
      </c>
      <c r="P188" t="s">
        <v>72</v>
      </c>
      <c r="Q188" t="s">
        <v>72</v>
      </c>
      <c r="R188" t="s">
        <v>72</v>
      </c>
      <c r="S188" t="s">
        <v>73</v>
      </c>
      <c r="T188" t="s">
        <v>74</v>
      </c>
      <c r="U188" t="s">
        <v>75</v>
      </c>
      <c r="V188" s="1" t="s">
        <v>76</v>
      </c>
      <c r="X188" s="1" t="s">
        <v>76</v>
      </c>
      <c r="Y188" s="1" t="s">
        <v>76</v>
      </c>
      <c r="Z188" s="1" t="s">
        <v>78</v>
      </c>
      <c r="AA188" s="13">
        <v>39.4</v>
      </c>
      <c r="AB188" s="13" t="s">
        <v>79</v>
      </c>
      <c r="AC188" s="13" t="s">
        <v>80</v>
      </c>
      <c r="AD188" s="3">
        <v>19.25</v>
      </c>
      <c r="AE188" s="3">
        <v>4</v>
      </c>
      <c r="AF188" s="3">
        <v>16.276</v>
      </c>
      <c r="AG188" s="4">
        <v>4.25</v>
      </c>
      <c r="AH188" s="3">
        <v>4</v>
      </c>
      <c r="AI188" s="3">
        <v>1.258</v>
      </c>
      <c r="BH188" s="9" t="s">
        <v>82</v>
      </c>
      <c r="BI188" s="9" t="s">
        <v>82</v>
      </c>
      <c r="BJ188" s="10" t="str">
        <f t="shared" si="10"/>
        <v>subtropic</v>
      </c>
      <c r="BK188" s="11" t="s">
        <v>137</v>
      </c>
    </row>
    <row r="189" ht="42.75" spans="1:63">
      <c r="A189">
        <v>187</v>
      </c>
      <c r="B189" t="s">
        <v>956</v>
      </c>
      <c r="C189" t="s">
        <v>957</v>
      </c>
      <c r="D189" t="s">
        <v>958</v>
      </c>
      <c r="E189" t="s">
        <v>959</v>
      </c>
      <c r="F189">
        <v>2025</v>
      </c>
      <c r="G189" s="26" t="s">
        <v>960</v>
      </c>
      <c r="H189" t="s">
        <v>68</v>
      </c>
      <c r="I189">
        <v>36</v>
      </c>
      <c r="J189">
        <v>110</v>
      </c>
      <c r="K189">
        <v>11</v>
      </c>
      <c r="L189" t="s">
        <v>111</v>
      </c>
      <c r="M189" t="str">
        <f t="shared" si="11"/>
        <v>Group C</v>
      </c>
      <c r="N189" t="s">
        <v>70</v>
      </c>
      <c r="O189" t="s">
        <v>71</v>
      </c>
      <c r="P189" t="s">
        <v>72</v>
      </c>
      <c r="Q189" t="s">
        <v>72</v>
      </c>
      <c r="R189" t="s">
        <v>72</v>
      </c>
      <c r="S189" t="s">
        <v>73</v>
      </c>
      <c r="T189" t="s">
        <v>74</v>
      </c>
      <c r="U189" t="s">
        <v>75</v>
      </c>
      <c r="V189" s="1" t="s">
        <v>172</v>
      </c>
      <c r="X189" s="1" t="s">
        <v>172</v>
      </c>
      <c r="Y189" s="1" t="s">
        <v>172</v>
      </c>
      <c r="Z189" s="1" t="s">
        <v>173</v>
      </c>
      <c r="AA189" s="13">
        <v>798.7</v>
      </c>
      <c r="AB189" s="13" t="s">
        <v>93</v>
      </c>
      <c r="AC189" s="13" t="s">
        <v>94</v>
      </c>
      <c r="AD189" s="3">
        <v>13.024</v>
      </c>
      <c r="AE189" s="3">
        <v>6</v>
      </c>
      <c r="AF189" s="3">
        <v>4.04</v>
      </c>
      <c r="AG189" s="4">
        <v>6.692</v>
      </c>
      <c r="AH189" s="3">
        <v>12</v>
      </c>
      <c r="AI189" s="3">
        <v>2.483</v>
      </c>
      <c r="AJ189" s="5" t="s">
        <v>81</v>
      </c>
      <c r="AK189" s="14">
        <v>3.956</v>
      </c>
      <c r="AL189" s="14">
        <v>6</v>
      </c>
      <c r="AM189" s="14">
        <v>2.02</v>
      </c>
      <c r="AN189" s="14">
        <v>1.855</v>
      </c>
      <c r="AO189" s="14">
        <v>12</v>
      </c>
      <c r="AP189" s="14">
        <v>0.845</v>
      </c>
      <c r="AQ189" s="7">
        <v>37</v>
      </c>
      <c r="AR189" s="15" t="s">
        <v>624</v>
      </c>
      <c r="AS189" s="15" t="s">
        <v>961</v>
      </c>
      <c r="AT189" s="7" t="s">
        <v>97</v>
      </c>
      <c r="AU189" s="7">
        <v>0.348537</v>
      </c>
      <c r="AV189" s="7">
        <v>66</v>
      </c>
      <c r="AW189" s="7">
        <v>0.151614</v>
      </c>
      <c r="AX189" s="7">
        <v>0.411863</v>
      </c>
      <c r="AY189" s="7">
        <v>15</v>
      </c>
      <c r="AZ189" s="7">
        <v>0.25659</v>
      </c>
      <c r="BA189" s="7">
        <v>0.464258</v>
      </c>
      <c r="BB189" s="7">
        <v>72</v>
      </c>
      <c r="BC189" s="7">
        <v>0.214182</v>
      </c>
      <c r="BD189" s="29" t="s">
        <v>98</v>
      </c>
      <c r="BH189" s="9" t="s">
        <v>82</v>
      </c>
      <c r="BI189" s="9" t="s">
        <v>82</v>
      </c>
      <c r="BJ189" s="10" t="str">
        <f t="shared" si="10"/>
        <v>subtropic</v>
      </c>
      <c r="BK189" s="11" t="s">
        <v>164</v>
      </c>
    </row>
    <row r="190" ht="42.75" spans="1:63">
      <c r="A190">
        <v>188</v>
      </c>
      <c r="B190" t="s">
        <v>962</v>
      </c>
      <c r="C190" t="s">
        <v>963</v>
      </c>
      <c r="D190" t="s">
        <v>964</v>
      </c>
      <c r="F190">
        <v>2025</v>
      </c>
      <c r="G190" s="26" t="s">
        <v>965</v>
      </c>
      <c r="H190" t="s">
        <v>180</v>
      </c>
      <c r="I190">
        <v>47.9916</v>
      </c>
      <c r="J190">
        <v>17.6206</v>
      </c>
      <c r="K190">
        <v>26</v>
      </c>
      <c r="L190" t="s">
        <v>181</v>
      </c>
      <c r="M190" t="str">
        <f t="shared" si="11"/>
        <v>Group D</v>
      </c>
      <c r="N190" t="s">
        <v>182</v>
      </c>
      <c r="O190" t="s">
        <v>183</v>
      </c>
      <c r="P190" t="s">
        <v>277</v>
      </c>
      <c r="Q190" t="s">
        <v>278</v>
      </c>
      <c r="R190" t="s">
        <v>277</v>
      </c>
      <c r="S190" t="s">
        <v>279</v>
      </c>
      <c r="T190" t="s">
        <v>280</v>
      </c>
      <c r="U190" t="s">
        <v>75</v>
      </c>
      <c r="V190" s="1" t="s">
        <v>618</v>
      </c>
      <c r="W190" s="1" t="s">
        <v>77</v>
      </c>
      <c r="X190" s="1" t="s">
        <v>172</v>
      </c>
      <c r="Y190" s="1" t="s">
        <v>172</v>
      </c>
      <c r="Z190" s="1" t="s">
        <v>173</v>
      </c>
      <c r="AA190" s="13">
        <v>368</v>
      </c>
      <c r="AB190" s="13" t="s">
        <v>93</v>
      </c>
      <c r="AC190" s="13" t="s">
        <v>94</v>
      </c>
      <c r="AD190" s="3">
        <v>4.162</v>
      </c>
      <c r="AE190" s="3">
        <v>20</v>
      </c>
      <c r="AF190" s="3">
        <v>2.522</v>
      </c>
      <c r="AG190" s="4">
        <v>3.722</v>
      </c>
      <c r="AH190" s="3">
        <v>16</v>
      </c>
      <c r="AI190" s="3">
        <v>2.14</v>
      </c>
      <c r="BH190" s="9" t="s">
        <v>82</v>
      </c>
      <c r="BI190" s="9" t="s">
        <v>82</v>
      </c>
      <c r="BJ190" s="10" t="str">
        <f t="shared" si="10"/>
        <v>temperate</v>
      </c>
      <c r="BK190" s="11" t="s">
        <v>137</v>
      </c>
    </row>
    <row r="191" ht="28.5" spans="1:63">
      <c r="A191">
        <v>189</v>
      </c>
      <c r="B191" t="s">
        <v>966</v>
      </c>
      <c r="C191" t="s">
        <v>967</v>
      </c>
      <c r="D191" t="s">
        <v>968</v>
      </c>
      <c r="E191" t="s">
        <v>969</v>
      </c>
      <c r="F191">
        <v>2025</v>
      </c>
      <c r="G191" s="12" t="s">
        <v>970</v>
      </c>
      <c r="H191" t="s">
        <v>303</v>
      </c>
      <c r="I191">
        <v>47</v>
      </c>
      <c r="J191">
        <v>20</v>
      </c>
      <c r="K191">
        <v>25</v>
      </c>
      <c r="L191" t="s">
        <v>216</v>
      </c>
      <c r="M191" t="str">
        <f t="shared" si="11"/>
        <v>Group D</v>
      </c>
      <c r="N191" t="s">
        <v>182</v>
      </c>
      <c r="O191" t="s">
        <v>183</v>
      </c>
      <c r="P191" t="s">
        <v>217</v>
      </c>
      <c r="Q191" t="s">
        <v>217</v>
      </c>
      <c r="R191" t="s">
        <v>218</v>
      </c>
      <c r="S191" t="s">
        <v>219</v>
      </c>
      <c r="T191" t="s">
        <v>74</v>
      </c>
      <c r="U191" t="s">
        <v>75</v>
      </c>
      <c r="V191" s="1" t="s">
        <v>694</v>
      </c>
      <c r="X191" s="1" t="s">
        <v>344</v>
      </c>
      <c r="Y191" s="1" t="s">
        <v>344</v>
      </c>
      <c r="Z191" s="1" t="s">
        <v>344</v>
      </c>
      <c r="AA191" s="13">
        <v>448.6</v>
      </c>
      <c r="AB191" s="13" t="s">
        <v>93</v>
      </c>
      <c r="AC191" s="13" t="s">
        <v>94</v>
      </c>
      <c r="AD191" s="3">
        <v>16.333</v>
      </c>
      <c r="AE191" s="3">
        <v>3</v>
      </c>
      <c r="AF191" s="3">
        <v>8.083</v>
      </c>
      <c r="AG191" s="4">
        <v>11.167</v>
      </c>
      <c r="AH191" s="3">
        <v>6</v>
      </c>
      <c r="AI191" s="3">
        <v>3.971</v>
      </c>
      <c r="AJ191" s="5" t="s">
        <v>81</v>
      </c>
      <c r="AK191" s="14">
        <v>9.544</v>
      </c>
      <c r="AL191" s="14">
        <v>3</v>
      </c>
      <c r="AM191" s="14">
        <v>7.76</v>
      </c>
      <c r="AN191" s="14">
        <v>5.804</v>
      </c>
      <c r="AO191" s="14">
        <v>6</v>
      </c>
      <c r="AP191" s="14">
        <v>2.48</v>
      </c>
      <c r="BH191" s="9" t="s">
        <v>82</v>
      </c>
      <c r="BI191" s="9" t="s">
        <v>82</v>
      </c>
      <c r="BJ191" s="10" t="str">
        <f t="shared" si="10"/>
        <v>temperate</v>
      </c>
      <c r="BK191" s="11" t="s">
        <v>164</v>
      </c>
    </row>
    <row r="192" ht="28.5" spans="1:63">
      <c r="A192">
        <v>190</v>
      </c>
      <c r="B192" t="s">
        <v>971</v>
      </c>
      <c r="C192" t="s">
        <v>972</v>
      </c>
      <c r="D192" t="s">
        <v>973</v>
      </c>
      <c r="E192" t="s">
        <v>974</v>
      </c>
      <c r="F192">
        <v>2025</v>
      </c>
      <c r="G192" s="12" t="s">
        <v>975</v>
      </c>
      <c r="H192" t="s">
        <v>611</v>
      </c>
      <c r="I192">
        <v>1.5</v>
      </c>
      <c r="J192">
        <v>103.86</v>
      </c>
      <c r="K192">
        <v>1</v>
      </c>
      <c r="L192" t="s">
        <v>512</v>
      </c>
      <c r="M192" t="str">
        <f t="shared" si="11"/>
        <v>Group A</v>
      </c>
      <c r="N192" t="s">
        <v>70</v>
      </c>
      <c r="O192" t="s">
        <v>71</v>
      </c>
      <c r="P192" t="s">
        <v>72</v>
      </c>
      <c r="Q192" t="s">
        <v>72</v>
      </c>
      <c r="R192" t="s">
        <v>72</v>
      </c>
      <c r="S192" t="s">
        <v>73</v>
      </c>
      <c r="T192" t="s">
        <v>74</v>
      </c>
      <c r="U192" t="s">
        <v>75</v>
      </c>
      <c r="V192" s="1" t="s">
        <v>117</v>
      </c>
      <c r="W192" s="1" t="s">
        <v>77</v>
      </c>
      <c r="X192" s="1" t="s">
        <v>117</v>
      </c>
      <c r="Y192" s="1" t="s">
        <v>117</v>
      </c>
      <c r="Z192" s="1" t="s">
        <v>118</v>
      </c>
      <c r="AA192" s="13">
        <v>43.8</v>
      </c>
      <c r="AB192" s="13" t="s">
        <v>79</v>
      </c>
      <c r="AC192" s="13" t="s">
        <v>80</v>
      </c>
      <c r="AD192" s="3">
        <v>1.406</v>
      </c>
      <c r="AE192" s="3">
        <v>3</v>
      </c>
      <c r="AF192" s="3">
        <v>0.827</v>
      </c>
      <c r="AG192" s="4">
        <v>3.362</v>
      </c>
      <c r="AH192" s="3">
        <v>15</v>
      </c>
      <c r="AI192" s="3">
        <v>0.833</v>
      </c>
      <c r="AQ192" s="7">
        <v>38</v>
      </c>
      <c r="AR192" s="15" t="s">
        <v>976</v>
      </c>
      <c r="AS192" s="15" t="s">
        <v>977</v>
      </c>
      <c r="AT192" s="7" t="s">
        <v>122</v>
      </c>
      <c r="AU192" s="7">
        <v>0.782553</v>
      </c>
      <c r="AV192" s="7">
        <v>120</v>
      </c>
      <c r="AW192" s="7">
        <v>0.454377</v>
      </c>
      <c r="AX192" s="7">
        <v>1.322864</v>
      </c>
      <c r="AY192" s="7">
        <v>3</v>
      </c>
      <c r="AZ192" s="7">
        <v>0.930801</v>
      </c>
      <c r="BA192" s="7">
        <v>6.766125</v>
      </c>
      <c r="BB192" s="7">
        <v>48</v>
      </c>
      <c r="BC192" s="7">
        <v>0.977414</v>
      </c>
      <c r="BD192" s="29" t="s">
        <v>98</v>
      </c>
      <c r="BG192" s="7" t="s">
        <v>101</v>
      </c>
      <c r="BH192" s="9" t="s">
        <v>297</v>
      </c>
      <c r="BI192" s="9" t="s">
        <v>126</v>
      </c>
      <c r="BJ192" s="10" t="str">
        <f t="shared" si="10"/>
        <v>tropic</v>
      </c>
      <c r="BK192" s="11" t="s">
        <v>164</v>
      </c>
    </row>
    <row r="193" ht="28.5" spans="1:63">
      <c r="A193">
        <v>191</v>
      </c>
      <c r="B193" t="s">
        <v>978</v>
      </c>
      <c r="C193" t="s">
        <v>979</v>
      </c>
      <c r="D193" t="s">
        <v>980</v>
      </c>
      <c r="E193" t="s">
        <v>981</v>
      </c>
      <c r="F193">
        <v>2025</v>
      </c>
      <c r="G193" s="12" t="s">
        <v>982</v>
      </c>
      <c r="H193" t="s">
        <v>68</v>
      </c>
      <c r="I193">
        <v>31.1823</v>
      </c>
      <c r="J193">
        <v>121.0071</v>
      </c>
      <c r="K193">
        <v>14</v>
      </c>
      <c r="L193" t="s">
        <v>89</v>
      </c>
      <c r="M193" t="str">
        <f t="shared" si="11"/>
        <v>Group C</v>
      </c>
      <c r="N193" t="s">
        <v>70</v>
      </c>
      <c r="O193" t="s">
        <v>71</v>
      </c>
      <c r="P193" t="s">
        <v>983</v>
      </c>
      <c r="Q193" t="s">
        <v>227</v>
      </c>
      <c r="R193" t="s">
        <v>340</v>
      </c>
      <c r="S193" t="s">
        <v>495</v>
      </c>
      <c r="T193" t="s">
        <v>74</v>
      </c>
      <c r="U193" t="s">
        <v>191</v>
      </c>
      <c r="V193" s="1" t="s">
        <v>984</v>
      </c>
      <c r="X193" s="1" t="s">
        <v>191</v>
      </c>
      <c r="Y193" s="1" t="s">
        <v>191</v>
      </c>
      <c r="Z193" s="1" t="s">
        <v>191</v>
      </c>
      <c r="AA193" s="13">
        <v>40.6</v>
      </c>
      <c r="AB193" s="13" t="s">
        <v>79</v>
      </c>
      <c r="AC193" s="13" t="s">
        <v>80</v>
      </c>
      <c r="AD193" s="3">
        <v>6.146</v>
      </c>
      <c r="AE193" s="3">
        <v>11</v>
      </c>
      <c r="AF193" s="3">
        <v>1.558</v>
      </c>
      <c r="AG193" s="4">
        <v>2.818</v>
      </c>
      <c r="AH193" s="3">
        <v>11</v>
      </c>
      <c r="AI193" s="3">
        <v>1.461</v>
      </c>
      <c r="AJ193" s="5" t="s">
        <v>81</v>
      </c>
      <c r="AK193" s="14">
        <v>1.444</v>
      </c>
      <c r="AL193" s="14">
        <v>11</v>
      </c>
      <c r="AM193" s="14">
        <v>0.279</v>
      </c>
      <c r="AN193" s="14">
        <v>0.723</v>
      </c>
      <c r="AO193" s="14">
        <v>11</v>
      </c>
      <c r="AP193" s="14">
        <v>0.43</v>
      </c>
      <c r="BH193" s="9" t="s">
        <v>82</v>
      </c>
      <c r="BI193" s="9" t="s">
        <v>82</v>
      </c>
      <c r="BJ193" s="10" t="str">
        <f t="shared" si="10"/>
        <v>subtropic</v>
      </c>
      <c r="BK193" s="11" t="s">
        <v>164</v>
      </c>
    </row>
    <row r="194" ht="42.75" spans="1:63">
      <c r="A194">
        <v>192</v>
      </c>
      <c r="B194" t="s">
        <v>978</v>
      </c>
      <c r="C194" t="s">
        <v>979</v>
      </c>
      <c r="D194" t="s">
        <v>980</v>
      </c>
      <c r="E194" t="s">
        <v>981</v>
      </c>
      <c r="F194">
        <v>2025</v>
      </c>
      <c r="G194" s="12" t="s">
        <v>982</v>
      </c>
      <c r="H194" t="s">
        <v>68</v>
      </c>
      <c r="I194">
        <v>31.1823</v>
      </c>
      <c r="J194">
        <v>121.0071</v>
      </c>
      <c r="K194">
        <v>14</v>
      </c>
      <c r="L194" t="s">
        <v>89</v>
      </c>
      <c r="M194" t="str">
        <f t="shared" si="11"/>
        <v>Group C</v>
      </c>
      <c r="N194" t="s">
        <v>70</v>
      </c>
      <c r="O194" t="s">
        <v>71</v>
      </c>
      <c r="P194" t="s">
        <v>983</v>
      </c>
      <c r="Q194" t="s">
        <v>227</v>
      </c>
      <c r="R194" t="s">
        <v>340</v>
      </c>
      <c r="S194" t="s">
        <v>495</v>
      </c>
      <c r="T194" t="s">
        <v>74</v>
      </c>
      <c r="U194" t="s">
        <v>75</v>
      </c>
      <c r="V194" s="1" t="s">
        <v>537</v>
      </c>
      <c r="X194" s="1" t="s">
        <v>172</v>
      </c>
      <c r="Y194" s="1" t="s">
        <v>281</v>
      </c>
      <c r="Z194" s="1" t="s">
        <v>538</v>
      </c>
      <c r="AA194" s="13">
        <v>40.6</v>
      </c>
      <c r="AB194" s="13" t="s">
        <v>79</v>
      </c>
      <c r="AC194" s="13" t="s">
        <v>80</v>
      </c>
      <c r="AD194" s="3">
        <v>10.266</v>
      </c>
      <c r="AE194" s="3">
        <v>11</v>
      </c>
      <c r="AF194" s="3">
        <v>2.236</v>
      </c>
      <c r="AG194" s="4">
        <v>5.895</v>
      </c>
      <c r="AH194" s="3">
        <v>11</v>
      </c>
      <c r="AI194" s="3">
        <v>1.331</v>
      </c>
      <c r="AJ194" s="5" t="s">
        <v>81</v>
      </c>
      <c r="AK194" s="14">
        <v>1.565</v>
      </c>
      <c r="AL194" s="14">
        <v>11</v>
      </c>
      <c r="AM194" s="14">
        <v>0.222</v>
      </c>
      <c r="AN194" s="14">
        <v>1.307</v>
      </c>
      <c r="AO194" s="14">
        <v>11</v>
      </c>
      <c r="AP194" s="14">
        <v>0.213</v>
      </c>
      <c r="BH194" s="9" t="s">
        <v>82</v>
      </c>
      <c r="BI194" s="9" t="s">
        <v>82</v>
      </c>
      <c r="BJ194" s="10" t="str">
        <f t="shared" si="10"/>
        <v>subtropic</v>
      </c>
      <c r="BK194" s="11" t="s">
        <v>164</v>
      </c>
    </row>
    <row r="195" ht="42.75" spans="1:63">
      <c r="A195">
        <v>193</v>
      </c>
      <c r="B195" t="s">
        <v>985</v>
      </c>
      <c r="C195" t="s">
        <v>986</v>
      </c>
      <c r="D195" t="s">
        <v>987</v>
      </c>
      <c r="E195" t="s">
        <v>988</v>
      </c>
      <c r="F195">
        <v>2025</v>
      </c>
      <c r="G195" s="12" t="s">
        <v>989</v>
      </c>
      <c r="H195" t="s">
        <v>68</v>
      </c>
      <c r="I195">
        <v>34</v>
      </c>
      <c r="J195">
        <v>115</v>
      </c>
      <c r="K195">
        <v>11</v>
      </c>
      <c r="L195" t="s">
        <v>111</v>
      </c>
      <c r="M195" t="str">
        <f t="shared" si="11"/>
        <v>Group C</v>
      </c>
      <c r="N195" t="s">
        <v>70</v>
      </c>
      <c r="O195" t="s">
        <v>71</v>
      </c>
      <c r="P195" t="s">
        <v>72</v>
      </c>
      <c r="Q195" t="s">
        <v>72</v>
      </c>
      <c r="R195" t="s">
        <v>72</v>
      </c>
      <c r="S195" t="s">
        <v>73</v>
      </c>
      <c r="T195" t="s">
        <v>74</v>
      </c>
      <c r="U195" t="s">
        <v>75</v>
      </c>
      <c r="V195" s="1" t="s">
        <v>172</v>
      </c>
      <c r="X195" s="1" t="s">
        <v>172</v>
      </c>
      <c r="Y195" s="1" t="s">
        <v>172</v>
      </c>
      <c r="Z195" s="1" t="s">
        <v>173</v>
      </c>
      <c r="AA195" s="13">
        <v>578.6</v>
      </c>
      <c r="AB195" s="13" t="s">
        <v>93</v>
      </c>
      <c r="AC195" s="13" t="s">
        <v>94</v>
      </c>
      <c r="AD195" s="3">
        <v>30.939</v>
      </c>
      <c r="AE195" s="3">
        <v>16</v>
      </c>
      <c r="AF195" s="3">
        <v>6.387</v>
      </c>
      <c r="AG195" s="4">
        <v>23.16</v>
      </c>
      <c r="AH195" s="3">
        <v>14</v>
      </c>
      <c r="AI195" s="3">
        <v>4.109</v>
      </c>
      <c r="AJ195" s="5" t="s">
        <v>81</v>
      </c>
      <c r="AK195" s="14">
        <v>4.428</v>
      </c>
      <c r="AL195" s="14">
        <v>16</v>
      </c>
      <c r="AM195" s="14">
        <v>1.581</v>
      </c>
      <c r="AN195" s="14">
        <v>4.751</v>
      </c>
      <c r="AO195" s="14">
        <v>14</v>
      </c>
      <c r="AP195" s="14">
        <v>0.96</v>
      </c>
      <c r="AQ195" s="7">
        <v>39</v>
      </c>
      <c r="AR195" s="15" t="s">
        <v>990</v>
      </c>
      <c r="AS195" s="15" t="s">
        <v>991</v>
      </c>
      <c r="AT195" s="7" t="s">
        <v>122</v>
      </c>
      <c r="AU195" s="7">
        <v>0.264034</v>
      </c>
      <c r="AV195" s="7">
        <v>91</v>
      </c>
      <c r="AW195" s="7">
        <v>0.127801</v>
      </c>
      <c r="AX195" s="7">
        <v>0.263832</v>
      </c>
      <c r="AY195" s="7">
        <v>120</v>
      </c>
      <c r="AZ195" s="7">
        <v>0.117987</v>
      </c>
      <c r="BA195" s="7">
        <v>0.421013</v>
      </c>
      <c r="BB195" s="7">
        <v>224</v>
      </c>
      <c r="BC195" s="7">
        <v>0.164299</v>
      </c>
      <c r="BD195" s="29" t="s">
        <v>98</v>
      </c>
      <c r="BG195" s="7" t="s">
        <v>101</v>
      </c>
      <c r="BH195" s="9" t="s">
        <v>82</v>
      </c>
      <c r="BI195" s="9" t="s">
        <v>82</v>
      </c>
      <c r="BJ195" s="10" t="str">
        <f t="shared" si="10"/>
        <v>subtropic</v>
      </c>
      <c r="BK195" s="11" t="s">
        <v>137</v>
      </c>
    </row>
    <row r="196" ht="28.5" spans="1:63">
      <c r="A196">
        <v>194</v>
      </c>
      <c r="B196" t="s">
        <v>985</v>
      </c>
      <c r="C196" t="s">
        <v>986</v>
      </c>
      <c r="D196" t="s">
        <v>987</v>
      </c>
      <c r="E196" t="s">
        <v>988</v>
      </c>
      <c r="F196">
        <v>2025</v>
      </c>
      <c r="G196" s="12" t="s">
        <v>989</v>
      </c>
      <c r="H196" t="s">
        <v>68</v>
      </c>
      <c r="I196">
        <v>34</v>
      </c>
      <c r="J196">
        <v>115</v>
      </c>
      <c r="K196">
        <v>11</v>
      </c>
      <c r="L196" t="s">
        <v>111</v>
      </c>
      <c r="M196" t="str">
        <f t="shared" si="11"/>
        <v>Group C</v>
      </c>
      <c r="N196" t="s">
        <v>70</v>
      </c>
      <c r="O196" t="s">
        <v>71</v>
      </c>
      <c r="P196" t="s">
        <v>72</v>
      </c>
      <c r="Q196" t="s">
        <v>72</v>
      </c>
      <c r="R196" t="s">
        <v>72</v>
      </c>
      <c r="S196" t="s">
        <v>73</v>
      </c>
      <c r="T196" t="s">
        <v>74</v>
      </c>
      <c r="U196" t="s">
        <v>75</v>
      </c>
      <c r="V196" s="1" t="s">
        <v>344</v>
      </c>
      <c r="X196" s="1" t="s">
        <v>344</v>
      </c>
      <c r="Y196" s="1" t="s">
        <v>344</v>
      </c>
      <c r="Z196" s="1" t="s">
        <v>344</v>
      </c>
      <c r="AA196" s="13">
        <v>578.6</v>
      </c>
      <c r="AB196" s="13" t="s">
        <v>93</v>
      </c>
      <c r="AC196" s="13" t="s">
        <v>94</v>
      </c>
      <c r="AD196" s="3">
        <v>40.651</v>
      </c>
      <c r="AE196" s="3">
        <v>16</v>
      </c>
      <c r="AF196" s="3">
        <v>6.265</v>
      </c>
      <c r="AG196" s="4">
        <v>33.94</v>
      </c>
      <c r="AH196" s="3">
        <v>14</v>
      </c>
      <c r="AI196" s="3">
        <v>5.12</v>
      </c>
      <c r="AJ196" s="5" t="s">
        <v>81</v>
      </c>
      <c r="AK196" s="14">
        <v>3.939</v>
      </c>
      <c r="AL196" s="14">
        <v>16</v>
      </c>
      <c r="AM196" s="14">
        <v>0.527</v>
      </c>
      <c r="AN196" s="14">
        <v>3.829</v>
      </c>
      <c r="AO196" s="14">
        <v>14</v>
      </c>
      <c r="AP196" s="14">
        <v>0.359</v>
      </c>
      <c r="AQ196" s="7">
        <v>40</v>
      </c>
      <c r="AR196" s="15" t="s">
        <v>990</v>
      </c>
      <c r="AS196" s="15" t="s">
        <v>991</v>
      </c>
      <c r="AT196" s="7" t="s">
        <v>122</v>
      </c>
      <c r="AU196" s="7">
        <v>0.228544</v>
      </c>
      <c r="AV196" s="7">
        <v>91</v>
      </c>
      <c r="AW196" s="7">
        <v>0.105901</v>
      </c>
      <c r="AX196" s="7">
        <v>0.336071</v>
      </c>
      <c r="AY196" s="7">
        <v>120</v>
      </c>
      <c r="AZ196" s="7">
        <v>0.163314</v>
      </c>
      <c r="BA196" s="7">
        <v>0.403553</v>
      </c>
      <c r="BB196" s="7">
        <v>224</v>
      </c>
      <c r="BC196" s="7">
        <v>0.140697</v>
      </c>
      <c r="BD196" s="29" t="s">
        <v>98</v>
      </c>
      <c r="BG196" s="7" t="s">
        <v>101</v>
      </c>
      <c r="BH196" s="9" t="s">
        <v>82</v>
      </c>
      <c r="BI196" s="9" t="s">
        <v>82</v>
      </c>
      <c r="BJ196" s="10" t="str">
        <f t="shared" si="10"/>
        <v>subtropic</v>
      </c>
      <c r="BK196" s="11" t="s">
        <v>137</v>
      </c>
    </row>
    <row r="197" ht="57" spans="1:63">
      <c r="A197">
        <v>195</v>
      </c>
      <c r="B197" t="s">
        <v>985</v>
      </c>
      <c r="C197" t="s">
        <v>986</v>
      </c>
      <c r="D197" t="s">
        <v>987</v>
      </c>
      <c r="E197" t="s">
        <v>988</v>
      </c>
      <c r="F197">
        <v>2025</v>
      </c>
      <c r="G197" s="12" t="s">
        <v>989</v>
      </c>
      <c r="H197" t="s">
        <v>68</v>
      </c>
      <c r="I197">
        <v>34</v>
      </c>
      <c r="J197">
        <v>115</v>
      </c>
      <c r="K197">
        <v>11</v>
      </c>
      <c r="L197" t="s">
        <v>111</v>
      </c>
      <c r="M197" t="str">
        <f t="shared" si="11"/>
        <v>Group C</v>
      </c>
      <c r="N197" t="s">
        <v>70</v>
      </c>
      <c r="O197" t="s">
        <v>71</v>
      </c>
      <c r="P197" t="s">
        <v>72</v>
      </c>
      <c r="Q197" t="s">
        <v>72</v>
      </c>
      <c r="R197" t="s">
        <v>72</v>
      </c>
      <c r="S197" t="s">
        <v>73</v>
      </c>
      <c r="T197" t="s">
        <v>74</v>
      </c>
      <c r="U197" t="s">
        <v>191</v>
      </c>
      <c r="V197" s="1" t="s">
        <v>240</v>
      </c>
      <c r="X197" s="1" t="s">
        <v>240</v>
      </c>
      <c r="Y197" s="1" t="s">
        <v>241</v>
      </c>
      <c r="Z197" s="1" t="s">
        <v>241</v>
      </c>
      <c r="AA197" s="13">
        <v>578.6</v>
      </c>
      <c r="AB197" s="13" t="s">
        <v>93</v>
      </c>
      <c r="AC197" s="13" t="s">
        <v>94</v>
      </c>
      <c r="AD197" s="3">
        <v>69.22</v>
      </c>
      <c r="AE197" s="3">
        <v>16</v>
      </c>
      <c r="AF197" s="3">
        <v>17.672</v>
      </c>
      <c r="AG197" s="4">
        <v>60.397</v>
      </c>
      <c r="AH197" s="3">
        <v>14</v>
      </c>
      <c r="AI197" s="3">
        <v>9.918</v>
      </c>
      <c r="AJ197" s="5" t="s">
        <v>81</v>
      </c>
      <c r="AK197" s="14">
        <v>8.157</v>
      </c>
      <c r="AL197" s="14">
        <v>16</v>
      </c>
      <c r="AM197" s="14">
        <v>1.46</v>
      </c>
      <c r="AN197" s="14">
        <v>8.151</v>
      </c>
      <c r="AO197" s="14">
        <v>14</v>
      </c>
      <c r="AP197" s="14">
        <v>1.621</v>
      </c>
      <c r="AQ197" s="7">
        <v>41</v>
      </c>
      <c r="AR197" s="15" t="s">
        <v>990</v>
      </c>
      <c r="AS197" s="15" t="s">
        <v>991</v>
      </c>
      <c r="AT197" s="7" t="s">
        <v>122</v>
      </c>
      <c r="AU197" s="7">
        <v>0.204923</v>
      </c>
      <c r="AV197" s="7">
        <v>91</v>
      </c>
      <c r="AW197" s="7">
        <v>0.092396</v>
      </c>
      <c r="AX197" s="7">
        <v>0.312057</v>
      </c>
      <c r="AY197" s="7">
        <v>105</v>
      </c>
      <c r="AZ197" s="7">
        <v>0.155375</v>
      </c>
      <c r="BA197" s="7">
        <v>0.280816</v>
      </c>
      <c r="BB197" s="7">
        <v>210</v>
      </c>
      <c r="BC197" s="7">
        <v>0.139678</v>
      </c>
      <c r="BD197" s="29" t="s">
        <v>98</v>
      </c>
      <c r="BG197" s="7" t="s">
        <v>101</v>
      </c>
      <c r="BH197" s="9" t="s">
        <v>82</v>
      </c>
      <c r="BI197" s="9" t="s">
        <v>82</v>
      </c>
      <c r="BJ197" s="10" t="str">
        <f t="shared" si="10"/>
        <v>subtropic</v>
      </c>
      <c r="BK197" s="11" t="s">
        <v>137</v>
      </c>
    </row>
    <row r="198" ht="28.5" spans="1:63">
      <c r="A198">
        <v>196</v>
      </c>
      <c r="B198" t="s">
        <v>992</v>
      </c>
      <c r="C198" t="s">
        <v>993</v>
      </c>
      <c r="D198" t="s">
        <v>994</v>
      </c>
      <c r="E198" t="s">
        <v>995</v>
      </c>
      <c r="F198">
        <v>2025</v>
      </c>
      <c r="G198" s="12" t="s">
        <v>996</v>
      </c>
      <c r="H198" t="s">
        <v>997</v>
      </c>
      <c r="I198">
        <v>27.4781</v>
      </c>
      <c r="J198">
        <v>89.6404</v>
      </c>
      <c r="K198">
        <v>12</v>
      </c>
      <c r="L198" t="s">
        <v>247</v>
      </c>
      <c r="M198" t="str">
        <f t="shared" si="11"/>
        <v>Group C</v>
      </c>
      <c r="N198" t="s">
        <v>444</v>
      </c>
      <c r="O198" s="27" t="s">
        <v>998</v>
      </c>
      <c r="P198" t="s">
        <v>72</v>
      </c>
      <c r="Q198" t="s">
        <v>72</v>
      </c>
      <c r="R198" t="s">
        <v>72</v>
      </c>
      <c r="S198" t="s">
        <v>73</v>
      </c>
      <c r="T198" t="s">
        <v>74</v>
      </c>
      <c r="U198" t="s">
        <v>191</v>
      </c>
      <c r="V198" s="1" t="s">
        <v>191</v>
      </c>
      <c r="X198" s="1" t="s">
        <v>191</v>
      </c>
      <c r="Y198" s="1" t="s">
        <v>191</v>
      </c>
      <c r="Z198" s="1" t="s">
        <v>191</v>
      </c>
      <c r="AA198" s="13">
        <v>16.6</v>
      </c>
      <c r="AB198" s="13" t="s">
        <v>79</v>
      </c>
      <c r="AC198" s="13" t="s">
        <v>80</v>
      </c>
      <c r="AJ198" s="5" t="s">
        <v>81</v>
      </c>
      <c r="AK198" s="14">
        <v>3.007</v>
      </c>
      <c r="AL198" s="14">
        <v>4</v>
      </c>
      <c r="AM198" s="14">
        <v>0.429</v>
      </c>
      <c r="AN198" s="14">
        <v>2.609</v>
      </c>
      <c r="AO198" s="14">
        <v>50</v>
      </c>
      <c r="AP198" s="14">
        <v>0.403</v>
      </c>
      <c r="AQ198" s="7">
        <v>42</v>
      </c>
      <c r="AR198" s="15" t="s">
        <v>999</v>
      </c>
      <c r="AS198" s="15" t="s">
        <v>1000</v>
      </c>
      <c r="AT198" s="7" t="s">
        <v>122</v>
      </c>
      <c r="AU198" s="7">
        <v>1.037648</v>
      </c>
      <c r="AV198" s="7">
        <v>1225</v>
      </c>
      <c r="AW198" s="7">
        <v>0.51073</v>
      </c>
      <c r="AX198" s="7">
        <v>1.180642</v>
      </c>
      <c r="AY198" s="7">
        <v>6</v>
      </c>
      <c r="AZ198" s="7">
        <v>0.699434</v>
      </c>
      <c r="BA198" s="7">
        <v>1.903776</v>
      </c>
      <c r="BB198" s="7">
        <v>200</v>
      </c>
      <c r="BC198" s="7">
        <v>0.632606</v>
      </c>
      <c r="BD198" s="29" t="s">
        <v>98</v>
      </c>
      <c r="BG198" s="7" t="s">
        <v>101</v>
      </c>
      <c r="BH198" s="9" t="s">
        <v>1001</v>
      </c>
      <c r="BI198" s="9" t="s">
        <v>126</v>
      </c>
      <c r="BJ198" s="10" t="str">
        <f t="shared" si="10"/>
        <v>subtropic</v>
      </c>
      <c r="BK198" s="11" t="s">
        <v>164</v>
      </c>
    </row>
    <row r="199" ht="28.5" spans="1:63">
      <c r="A199">
        <v>197</v>
      </c>
      <c r="B199" t="s">
        <v>1002</v>
      </c>
      <c r="C199" t="s">
        <v>1003</v>
      </c>
      <c r="D199" t="s">
        <v>1004</v>
      </c>
      <c r="E199" t="s">
        <v>1005</v>
      </c>
      <c r="F199">
        <v>2025</v>
      </c>
      <c r="G199" s="12" t="s">
        <v>1006</v>
      </c>
      <c r="H199" t="s">
        <v>68</v>
      </c>
      <c r="I199">
        <v>40</v>
      </c>
      <c r="J199">
        <v>116</v>
      </c>
      <c r="K199">
        <v>21</v>
      </c>
      <c r="L199" t="s">
        <v>69</v>
      </c>
      <c r="M199" t="str">
        <f t="shared" si="11"/>
        <v>Group D</v>
      </c>
      <c r="N199" t="s">
        <v>70</v>
      </c>
      <c r="O199" t="s">
        <v>71</v>
      </c>
      <c r="P199" t="s">
        <v>72</v>
      </c>
      <c r="Q199" t="s">
        <v>72</v>
      </c>
      <c r="R199" t="s">
        <v>72</v>
      </c>
      <c r="S199" t="s">
        <v>73</v>
      </c>
      <c r="T199" t="s">
        <v>74</v>
      </c>
      <c r="U199" t="s">
        <v>90</v>
      </c>
      <c r="V199" s="1" t="s">
        <v>92</v>
      </c>
      <c r="X199" s="1" t="s">
        <v>92</v>
      </c>
      <c r="Y199" s="1" t="s">
        <v>92</v>
      </c>
      <c r="Z199" s="1" t="s">
        <v>92</v>
      </c>
      <c r="AA199" s="13">
        <v>215</v>
      </c>
      <c r="AB199" s="13" t="s">
        <v>93</v>
      </c>
      <c r="AC199" s="13" t="s">
        <v>94</v>
      </c>
      <c r="AJ199" s="5" t="s">
        <v>81</v>
      </c>
      <c r="AK199" s="14">
        <v>6.725</v>
      </c>
      <c r="AL199" s="14">
        <v>6</v>
      </c>
      <c r="AM199" s="14">
        <v>0.508</v>
      </c>
      <c r="AN199" s="14">
        <v>6.557</v>
      </c>
      <c r="AO199" s="14">
        <v>6</v>
      </c>
      <c r="AP199" s="14">
        <v>0.555</v>
      </c>
      <c r="AQ199" s="7">
        <v>43</v>
      </c>
      <c r="AR199" s="15" t="s">
        <v>1007</v>
      </c>
      <c r="AS199" s="15" t="s">
        <v>1008</v>
      </c>
      <c r="AT199" s="7" t="s">
        <v>97</v>
      </c>
      <c r="AU199" s="7">
        <v>0.132601</v>
      </c>
      <c r="AV199" s="7">
        <v>15</v>
      </c>
      <c r="AW199" s="7">
        <v>0.064604</v>
      </c>
      <c r="AX199" s="7">
        <v>0.046358</v>
      </c>
      <c r="AY199" s="7">
        <v>15</v>
      </c>
      <c r="AZ199" s="7">
        <v>0.024407</v>
      </c>
      <c r="BA199" s="7">
        <v>0.315712</v>
      </c>
      <c r="BB199" s="7">
        <v>36</v>
      </c>
      <c r="BC199" s="7">
        <v>0.078493</v>
      </c>
      <c r="BD199" s="29" t="s">
        <v>98</v>
      </c>
      <c r="BG199" s="7" t="s">
        <v>101</v>
      </c>
      <c r="BH199" s="9" t="s">
        <v>82</v>
      </c>
      <c r="BI199" s="9" t="s">
        <v>82</v>
      </c>
      <c r="BJ199" s="10" t="str">
        <f t="shared" si="10"/>
        <v>temperate</v>
      </c>
      <c r="BK199" s="11" t="s">
        <v>137</v>
      </c>
    </row>
    <row r="200" ht="28.5" spans="1:63">
      <c r="A200">
        <v>198</v>
      </c>
      <c r="B200" t="s">
        <v>1002</v>
      </c>
      <c r="C200" t="s">
        <v>1003</v>
      </c>
      <c r="D200" t="s">
        <v>1009</v>
      </c>
      <c r="E200" t="s">
        <v>1005</v>
      </c>
      <c r="F200">
        <v>2025</v>
      </c>
      <c r="G200" s="12" t="s">
        <v>1006</v>
      </c>
      <c r="H200" t="s">
        <v>68</v>
      </c>
      <c r="I200">
        <v>40</v>
      </c>
      <c r="J200">
        <v>116</v>
      </c>
      <c r="K200">
        <v>21</v>
      </c>
      <c r="L200" t="s">
        <v>69</v>
      </c>
      <c r="M200" t="str">
        <f t="shared" si="11"/>
        <v>Group D</v>
      </c>
      <c r="N200" t="s">
        <v>70</v>
      </c>
      <c r="O200" t="s">
        <v>71</v>
      </c>
      <c r="P200" t="s">
        <v>72</v>
      </c>
      <c r="Q200" t="s">
        <v>72</v>
      </c>
      <c r="R200" t="s">
        <v>72</v>
      </c>
      <c r="S200" t="s">
        <v>73</v>
      </c>
      <c r="T200" t="s">
        <v>74</v>
      </c>
      <c r="U200" t="s">
        <v>90</v>
      </c>
      <c r="V200" s="1" t="s">
        <v>92</v>
      </c>
      <c r="X200" s="1" t="s">
        <v>92</v>
      </c>
      <c r="Y200" s="1" t="s">
        <v>92</v>
      </c>
      <c r="Z200" s="1" t="s">
        <v>92</v>
      </c>
      <c r="AA200" s="13">
        <v>215</v>
      </c>
      <c r="AB200" s="13" t="s">
        <v>93</v>
      </c>
      <c r="AC200" s="13" t="s">
        <v>94</v>
      </c>
      <c r="AJ200" s="5" t="s">
        <v>81</v>
      </c>
      <c r="AK200" s="14">
        <v>6.697</v>
      </c>
      <c r="AL200" s="14">
        <v>6</v>
      </c>
      <c r="AM200" s="14">
        <v>0.823</v>
      </c>
      <c r="AN200" s="14">
        <v>6.149</v>
      </c>
      <c r="AO200" s="14">
        <v>6</v>
      </c>
      <c r="AP200" s="14">
        <v>0.555</v>
      </c>
      <c r="AQ200" s="7">
        <v>44</v>
      </c>
      <c r="AR200" s="15" t="s">
        <v>1010</v>
      </c>
      <c r="AS200" s="15" t="s">
        <v>1011</v>
      </c>
      <c r="AT200" s="7" t="s">
        <v>97</v>
      </c>
      <c r="AU200" s="7">
        <v>0.163104</v>
      </c>
      <c r="AV200" s="7">
        <v>15</v>
      </c>
      <c r="AW200" s="7">
        <v>0.110909</v>
      </c>
      <c r="AX200" s="7">
        <v>0.059046</v>
      </c>
      <c r="AY200" s="7">
        <v>15</v>
      </c>
      <c r="AZ200" s="7">
        <v>0.029604</v>
      </c>
      <c r="BA200" s="7">
        <v>0.357335</v>
      </c>
      <c r="BB200" s="7">
        <v>36</v>
      </c>
      <c r="BC200" s="7">
        <v>0.067649</v>
      </c>
      <c r="BD200" s="29" t="s">
        <v>98</v>
      </c>
      <c r="BG200" s="7" t="s">
        <v>101</v>
      </c>
      <c r="BH200" s="9" t="s">
        <v>82</v>
      </c>
      <c r="BI200" s="9" t="s">
        <v>82</v>
      </c>
      <c r="BJ200" s="10" t="str">
        <f t="shared" si="10"/>
        <v>temperate</v>
      </c>
      <c r="BK200" s="11" t="s">
        <v>137</v>
      </c>
    </row>
    <row r="201" ht="28.5" spans="1:63">
      <c r="A201">
        <v>199</v>
      </c>
      <c r="B201" t="s">
        <v>1002</v>
      </c>
      <c r="C201" t="s">
        <v>1003</v>
      </c>
      <c r="D201" t="s">
        <v>1012</v>
      </c>
      <c r="E201" t="s">
        <v>1005</v>
      </c>
      <c r="F201">
        <v>2025</v>
      </c>
      <c r="G201" s="12" t="s">
        <v>1006</v>
      </c>
      <c r="H201" t="s">
        <v>68</v>
      </c>
      <c r="I201">
        <v>40</v>
      </c>
      <c r="J201">
        <v>116</v>
      </c>
      <c r="K201">
        <v>21</v>
      </c>
      <c r="L201" t="s">
        <v>69</v>
      </c>
      <c r="M201" t="str">
        <f t="shared" si="11"/>
        <v>Group D</v>
      </c>
      <c r="N201" t="s">
        <v>70</v>
      </c>
      <c r="O201" t="s">
        <v>71</v>
      </c>
      <c r="P201" t="s">
        <v>72</v>
      </c>
      <c r="Q201" t="s">
        <v>72</v>
      </c>
      <c r="R201" t="s">
        <v>72</v>
      </c>
      <c r="S201" t="s">
        <v>73</v>
      </c>
      <c r="T201" t="s">
        <v>74</v>
      </c>
      <c r="U201" t="s">
        <v>90</v>
      </c>
      <c r="V201" s="1" t="s">
        <v>92</v>
      </c>
      <c r="X201" s="1" t="s">
        <v>92</v>
      </c>
      <c r="Y201" s="1" t="s">
        <v>92</v>
      </c>
      <c r="Z201" s="1" t="s">
        <v>92</v>
      </c>
      <c r="AA201" s="13">
        <v>215</v>
      </c>
      <c r="AB201" s="13" t="s">
        <v>93</v>
      </c>
      <c r="AC201" s="13" t="s">
        <v>94</v>
      </c>
      <c r="AJ201" s="5" t="s">
        <v>81</v>
      </c>
      <c r="AK201" s="14">
        <v>6.45</v>
      </c>
      <c r="AL201" s="14">
        <v>6</v>
      </c>
      <c r="AM201" s="14">
        <v>0.485</v>
      </c>
      <c r="AN201" s="14">
        <v>5.334</v>
      </c>
      <c r="AO201" s="14">
        <v>6</v>
      </c>
      <c r="AP201" s="14">
        <v>0.838</v>
      </c>
      <c r="AQ201" s="7">
        <v>46</v>
      </c>
      <c r="AR201" s="15" t="s">
        <v>1013</v>
      </c>
      <c r="AS201" s="15" t="s">
        <v>1014</v>
      </c>
      <c r="AT201" s="7" t="s">
        <v>97</v>
      </c>
      <c r="AU201" s="7">
        <v>0.122478</v>
      </c>
      <c r="AV201" s="7">
        <v>15</v>
      </c>
      <c r="AW201" s="7">
        <v>0.049395</v>
      </c>
      <c r="AX201" s="7">
        <v>0.07668</v>
      </c>
      <c r="AY201" s="7">
        <v>15</v>
      </c>
      <c r="AZ201" s="7">
        <v>0.040401</v>
      </c>
      <c r="BA201" s="7">
        <v>0.375135</v>
      </c>
      <c r="BB201" s="7">
        <v>36</v>
      </c>
      <c r="BC201" s="7">
        <v>0.079346</v>
      </c>
      <c r="BD201" s="29" t="s">
        <v>98</v>
      </c>
      <c r="BG201" s="7" t="s">
        <v>101</v>
      </c>
      <c r="BH201" s="9" t="s">
        <v>82</v>
      </c>
      <c r="BI201" s="9" t="s">
        <v>82</v>
      </c>
      <c r="BJ201" s="10" t="str">
        <f t="shared" si="10"/>
        <v>temperate</v>
      </c>
      <c r="BK201" s="11" t="s">
        <v>137</v>
      </c>
    </row>
    <row r="202" ht="42.75" spans="1:63">
      <c r="A202">
        <v>200</v>
      </c>
      <c r="B202" t="s">
        <v>1015</v>
      </c>
      <c r="C202" t="s">
        <v>1016</v>
      </c>
      <c r="D202" t="s">
        <v>1017</v>
      </c>
      <c r="E202" t="s">
        <v>1018</v>
      </c>
      <c r="F202">
        <v>2025</v>
      </c>
      <c r="G202" s="12" t="s">
        <v>1019</v>
      </c>
      <c r="H202" t="s">
        <v>68</v>
      </c>
      <c r="I202">
        <v>31.33</v>
      </c>
      <c r="J202">
        <v>120.66</v>
      </c>
      <c r="K202">
        <v>14</v>
      </c>
      <c r="L202" t="s">
        <v>89</v>
      </c>
      <c r="M202" t="str">
        <f t="shared" si="11"/>
        <v>Group C</v>
      </c>
      <c r="N202" t="s">
        <v>70</v>
      </c>
      <c r="O202" t="s">
        <v>71</v>
      </c>
      <c r="P202" t="s">
        <v>72</v>
      </c>
      <c r="Q202" t="s">
        <v>72</v>
      </c>
      <c r="R202" t="s">
        <v>72</v>
      </c>
      <c r="S202" t="s">
        <v>73</v>
      </c>
      <c r="T202" t="s">
        <v>74</v>
      </c>
      <c r="U202" t="s">
        <v>75</v>
      </c>
      <c r="V202" s="1" t="s">
        <v>172</v>
      </c>
      <c r="X202" s="1" t="s">
        <v>172</v>
      </c>
      <c r="Y202" s="1" t="s">
        <v>172</v>
      </c>
      <c r="Z202" s="1" t="s">
        <v>173</v>
      </c>
      <c r="AA202" s="13">
        <v>46</v>
      </c>
      <c r="AB202" s="13" t="s">
        <v>79</v>
      </c>
      <c r="AC202" s="13" t="s">
        <v>80</v>
      </c>
      <c r="AD202" s="3">
        <v>2.22</v>
      </c>
      <c r="AE202" s="3">
        <v>28</v>
      </c>
      <c r="AF202" s="3">
        <v>0.872</v>
      </c>
      <c r="AG202" s="4">
        <v>0.699</v>
      </c>
      <c r="AH202" s="3">
        <v>25</v>
      </c>
      <c r="AI202" s="3">
        <v>0.426</v>
      </c>
      <c r="BH202" s="9" t="s">
        <v>82</v>
      </c>
      <c r="BI202" s="9" t="s">
        <v>82</v>
      </c>
      <c r="BJ202" s="10" t="str">
        <f t="shared" si="10"/>
        <v>subtropic</v>
      </c>
      <c r="BK202" s="11" t="s">
        <v>137</v>
      </c>
    </row>
    <row r="203" ht="41.1" customHeight="1" spans="1:63">
      <c r="A203">
        <v>201</v>
      </c>
      <c r="B203" t="s">
        <v>1020</v>
      </c>
      <c r="C203" t="s">
        <v>1021</v>
      </c>
      <c r="D203" t="s">
        <v>1022</v>
      </c>
      <c r="E203" t="s">
        <v>1023</v>
      </c>
      <c r="F203">
        <v>2025</v>
      </c>
      <c r="G203" s="17" t="s">
        <v>1024</v>
      </c>
      <c r="H203" t="s">
        <v>276</v>
      </c>
      <c r="I203">
        <v>40.3252</v>
      </c>
      <c r="J203">
        <v>-111.6428</v>
      </c>
      <c r="K203">
        <v>25</v>
      </c>
      <c r="L203" t="s">
        <v>216</v>
      </c>
      <c r="M203" t="str">
        <f t="shared" si="11"/>
        <v>Group D</v>
      </c>
      <c r="N203" t="s">
        <v>182</v>
      </c>
      <c r="O203" t="s">
        <v>183</v>
      </c>
      <c r="P203" t="s">
        <v>72</v>
      </c>
      <c r="Q203" t="s">
        <v>72</v>
      </c>
      <c r="R203" t="s">
        <v>72</v>
      </c>
      <c r="S203" t="s">
        <v>73</v>
      </c>
      <c r="T203" t="s">
        <v>74</v>
      </c>
      <c r="U203" t="s">
        <v>90</v>
      </c>
      <c r="V203" s="1" t="s">
        <v>1025</v>
      </c>
      <c r="X203" s="1" t="s">
        <v>227</v>
      </c>
      <c r="Y203" s="1" t="s">
        <v>227</v>
      </c>
      <c r="Z203" s="1" t="s">
        <v>227</v>
      </c>
      <c r="AA203" s="13">
        <v>15</v>
      </c>
      <c r="AB203" s="13" t="s">
        <v>79</v>
      </c>
      <c r="AC203" s="13" t="s">
        <v>80</v>
      </c>
      <c r="AD203" s="3">
        <v>58.565</v>
      </c>
      <c r="AE203" s="3">
        <v>9</v>
      </c>
      <c r="AF203" s="3">
        <v>22.005</v>
      </c>
      <c r="AG203" s="4">
        <v>10.114</v>
      </c>
      <c r="AH203" s="3">
        <v>5</v>
      </c>
      <c r="AI203" s="3">
        <v>4.564</v>
      </c>
      <c r="AJ203" s="5" t="s">
        <v>81</v>
      </c>
      <c r="AK203" s="14">
        <v>1.983</v>
      </c>
      <c r="AL203" s="14">
        <v>10</v>
      </c>
      <c r="AM203" s="14">
        <v>0.943</v>
      </c>
      <c r="AN203" s="14">
        <v>0.794</v>
      </c>
      <c r="AO203" s="14">
        <v>5</v>
      </c>
      <c r="AP203" s="14">
        <v>0.664</v>
      </c>
      <c r="BH203" s="9" t="s">
        <v>82</v>
      </c>
      <c r="BI203" s="9" t="s">
        <v>82</v>
      </c>
      <c r="BJ203" s="10" t="str">
        <f t="shared" si="10"/>
        <v>temperate</v>
      </c>
      <c r="BK203" s="11" t="s">
        <v>137</v>
      </c>
    </row>
  </sheetData>
  <sortState ref="A2:BO202">
    <sortCondition ref="A2"/>
  </sortState>
  <hyperlinks>
    <hyperlink ref="G2" r:id="rId1" display="http://dx.doi.org/10.3389/fevo.2024.1479231" tooltip="http://dx.doi.org/10.3389/fevo.2024.1479231"/>
    <hyperlink ref="G38" r:id="rId2" display="http://dx.doi.org/10.7773/cm.y2023.3355"/>
    <hyperlink ref="G61" r:id="rId3" display="http://dx.doi.org/10.3390/ani12040473"/>
    <hyperlink ref="G54" r:id="rId4" display="http://dx.doi.org/10.1016/j.ecohyd.2021.08.006"/>
    <hyperlink ref="G110" r:id="rId5" display="http://dx.doi.org/10.3390/d11060086" tooltip="http://dx.doi.org/10.3390/d11060086"/>
    <hyperlink ref="G148" r:id="rId6" display="http://dx.doi.org/10.1016/j.scitotenv.2015.07.066"/>
    <hyperlink ref="G5" r:id="rId7" display="http://dx.doi.org/10.1007/s10750-025-05805-5"/>
    <hyperlink ref="G9" r:id="rId8" display="http://dx.doi.org/10.1016/j.ecolind.2024.112938"/>
    <hyperlink ref="G13" r:id="rId9" display="http://dx.doi.org/10.3390/su17010231"/>
    <hyperlink ref="G20" r:id="rId10" display="http://dx.doi.org/10.1016/j.jenvman.2024.123937"/>
    <hyperlink ref="G21" r:id="rId11" display="http://dx.doi.org/10.1007/s00027-024-01129-z"/>
    <hyperlink ref="G22" r:id="rId12" display="http://dx.doi.org/10.1007/s11252-023-01501-1"/>
    <hyperlink ref="G24" r:id="rId13" display="http://dx.doi.org/10.1016/j.scitotenv.2023.168178"/>
    <hyperlink ref="G27" r:id="rId14" display="http://dx.doi.org/10.1007/s11252-024-01540-2"/>
    <hyperlink ref="G28" r:id="rId15" display="http://dx.doi.org/10.3390/w16233467"/>
    <hyperlink ref="G29" r:id="rId16" display="http://dx.doi.org/10.1016/j.watres.2024.121480"/>
    <hyperlink ref="G39" r:id="rId17" display="http://dx.doi.org/10.1007/s10841-022-00453-9"/>
    <hyperlink ref="G40" r:id="rId18" display="http://dx.doi.org/10.1002/eap.2828"/>
    <hyperlink ref="G45" r:id="rId19" display="http://dx.doi.org/10.1016/j.limno.2023.126082"/>
    <hyperlink ref="G47" r:id="rId20" display="http://dx.doi.org/10.1007/s10750-022-05130-1"/>
    <hyperlink ref="G52" r:id="rId21" display="http://dx.doi.org/10.3389/fevo.2023.1121400"/>
    <hyperlink ref="G53" r:id="rId22" display="http://dx.doi.org/10.1016/j.ecolind.2023.110991"/>
    <hyperlink ref="G65" r:id="rId23" display="http://dx.doi.org/10.1007/s11252-022-01238-3"/>
    <hyperlink ref="G69" r:id="rId24" display="http://dx.doi.org/10.1016/j.scitotenv.2021.151974"/>
    <hyperlink ref="G70" r:id="rId25" display="http://dx.doi.org/10.1088/1748-9326/ac444f"/>
    <hyperlink ref="G71" r:id="rId26" display="http://dx.doi.org/10.1007/s11252-021-01174-8"/>
    <hyperlink ref="G73" r:id="rId27" display="http://dx.doi.org/10.1016/j.jes.2021.05.001"/>
    <hyperlink ref="G74" r:id="rId28" display="http://dx.doi.org/10.1007/s00027-021-00832-5"/>
    <hyperlink ref="G76" r:id="rId29" display="http://dx.doi.org/10.1016/j.scitotenv.2022.153940" tooltip="http://dx.doi.org/10.1016/j.scitotenv.2022.153940"/>
    <hyperlink ref="G78" r:id="rId30" display="http://dx.doi.org/10.1007/s11252-022-01248-1"/>
    <hyperlink ref="G79" r:id="rId31" display="http://dx.doi.org/10.3390/w14233793"/>
    <hyperlink ref="G80" r:id="rId32" display="http://dx.doi.org/10.1002/lno.12179"/>
    <hyperlink ref="G82" r:id="rId33" display="http://dx.doi.org/10.1080/02757540.2022.2094918"/>
    <hyperlink ref="G83" r:id="rId34" display="http://dx.doi.org/10.1016/j.ecolind.2020.106944"/>
    <hyperlink ref="G84" r:id="rId35" display="http://dx.doi.org/10.1111/avsc.12550"/>
    <hyperlink ref="G86" r:id="rId36" display="http://dx.doi.org/10.1590/1676-0611-BN-2020-1122"/>
    <hyperlink ref="G89" r:id="rId37" display="http://dx.doi.org/10.1051/limn/2021010"/>
    <hyperlink ref="G90" r:id="rId38" display="http://dx.doi.org/10.38201/btha.abc.v51.i1.4"/>
    <hyperlink ref="G91" r:id="rId39" display="http://dx.doi.org/10.1007/s11356-021-13867-w"/>
    <hyperlink ref="G92" r:id="rId40" display="http://dx.doi.org/10.1007/s10750-021-04657-z"/>
    <hyperlink ref="G95" r:id="rId41" display="http://dx.doi.org/10.3390/w12030698"/>
    <hyperlink ref="G97" r:id="rId42" display="http://dx.doi.org/10.1007/s10531-020-01977-9"/>
    <hyperlink ref="G98" r:id="rId43" display="http://dx.doi.org/10.1155/2020/8653486"/>
    <hyperlink ref="G100" r:id="rId44" display="http://dx.doi.org/10.1016/j.ecolind.2019.105899"/>
    <hyperlink ref="G102" r:id="rId45" display="http://dx.doi.org/10.1371/journal.pone.0234303"/>
    <hyperlink ref="G103" r:id="rId46" display="http://dx.doi.org/10.1590/0001-3765202020190476"/>
    <hyperlink ref="G104" r:id="rId47" display="http://dx.doi.org/10.1016/j.ecss.2020.106729"/>
    <hyperlink ref="G106" r:id="rId48" display="http://dx.doi.org/10.1007/s13157-020-01317-1"/>
    <hyperlink ref="G107" r:id="rId49" display="http://dx.doi.org/10.3390/w12113111"/>
    <hyperlink ref="G109" r:id="rId50" display="http://dx.doi.org/10.1007/s11252-020-01012-3"/>
    <hyperlink ref="G30" r:id="rId16" display="http://dx.doi.org/10.1016/j.watres.2024.121480"/>
    <hyperlink ref="G31" r:id="rId16" display="http://dx.doi.org/10.1016/j.watres.2024.121480"/>
    <hyperlink ref="G55" r:id="rId4" display="http://dx.doi.org/10.1016/j.ecohyd.2021.08.006"/>
    <hyperlink ref="G56" r:id="rId4" display="http://dx.doi.org/10.1016/j.ecohyd.2021.08.006"/>
    <hyperlink ref="G57" r:id="rId4" display="http://dx.doi.org/10.1016/j.ecohyd.2021.08.006"/>
    <hyperlink ref="G58" r:id="rId4" display="http://dx.doi.org/10.1016/j.ecohyd.2021.08.006"/>
    <hyperlink ref="G59" r:id="rId4" display="http://dx.doi.org/10.1016/j.ecohyd.2021.08.006"/>
    <hyperlink ref="G81" r:id="rId32" display="http://dx.doi.org/10.1002/lno.12179"/>
    <hyperlink ref="G111" r:id="rId51" display="http://dx.doi.org/10.1007/s11252-019-00862-w"/>
    <hyperlink ref="G112" r:id="rId52" display="http://dx.doi.org/10.26028/cybium/2019-433-005"/>
    <hyperlink ref="G113" r:id="rId53" display="http://dx.doi.org/10.1186/s13717-019-0196-2"/>
    <hyperlink ref="G115" r:id="rId54" display="http://dx.doi.org/10.1007/s12526-018-0883-8"/>
    <hyperlink ref="G116" r:id="rId55" display="http://dx.doi.org/10.1086/706072"/>
    <hyperlink ref="G117" r:id="rId56" display="http://dx.doi.org/10.1016/j.ecolind.2019.01.063"/>
    <hyperlink ref="G118" r:id="rId57" display="http://dx.doi.org/10.2984/73.3.1"/>
    <hyperlink ref="G119" r:id="rId58" display="http://dx.doi.org/10.1007/s00027-019-0655-y"/>
    <hyperlink ref="G120" r:id="rId59" display="http://dx.doi.org/10.1007/s11252-018-0802-6"/>
    <hyperlink ref="G121" r:id="rId60" display="http://dx.doi.org/10.3390/w11091930"/>
    <hyperlink ref="G124" r:id="rId61" display="http://dx.doi.org/10.1007/s11270-018-4054-0"/>
    <hyperlink ref="G126" r:id="rId62" display="http://dx.doi.org/10.1016/j.scitotenv.2017.10.068" tooltip="http://dx.doi.org/10.1016/j.scitotenv.2017.10.068"/>
    <hyperlink ref="G127" r:id="rId63" display="http://dx.doi.org/10.1016/j.scitotenv.2018.01.231"/>
    <hyperlink ref="G128" r:id="rId64" display="http://dx.doi.org/10.1007/s12237-017-0347-6"/>
    <hyperlink ref="G129" r:id="rId65" display="http://dx.doi.org/10.1007/s11270-018-3688-2" tooltip="http://dx.doi.org/10.1007/s11270-018-3688-2"/>
    <hyperlink ref="G130" r:id="rId66" display="http://dx.doi.org/10.5735/086.054.0504"/>
    <hyperlink ref="G131" r:id="rId67" display="http://dx.doi.org/10.1007/s10531-016-1286-4"/>
    <hyperlink ref="G133" r:id="rId68" display="http://dx.doi.org/10.1007/s13157-017-0902-8" tooltip="http://dx.doi.org/10.1007/s13157-017-0902-8"/>
    <hyperlink ref="G134" r:id="rId69" display="http://dx.doi.org/10.1086/686614"/>
    <hyperlink ref="G135" r:id="rId70" display="http://dx.doi.org/10.1007/s11252-015-0490-4"/>
    <hyperlink ref="G137" r:id="rId71" display="http://dx.doi.org/10.1590/1519-6984.03515"/>
    <hyperlink ref="G141" r:id="rId72" display="http://dx.doi.org/10.1016/j.ecolind.2015.06.039"/>
    <hyperlink ref="G142" r:id="rId73" display="http://dx.doi.org/10.1093/jme/tjw045"/>
    <hyperlink ref="G143" r:id="rId74" display="http://dx.doi.org/10.1007/s10750-016-2727-5"/>
    <hyperlink ref="G145" r:id="rId75" display="http://dx.doi.org/10.1007/s10750-015-2443-6"/>
    <hyperlink ref="G146" r:id="rId76" display="http://dx.doi.org/10.1002/rra.3031"/>
    <hyperlink ref="G147" r:id="rId77" display="http://dx.doi.org/10.1007/s40333-016-0084-x"/>
    <hyperlink ref="G150" r:id="rId78" display="http://dx.doi.org/10.1007/s10531-015-0990-9"/>
    <hyperlink ref="G149" r:id="rId6" display="http://dx.doi.org/10.1016/j.scitotenv.2015.07.066"/>
    <hyperlink ref="G151" r:id="rId78" display="http://dx.doi.org/10.1007/s10531-015-0990-9"/>
    <hyperlink ref="G152" r:id="rId79" display="http://dx.doi.org/10.1086/681252"/>
    <hyperlink ref="G153" r:id="rId80" display="http://dx.doi.org/10.3389/fmicb.2015.01028" tooltip="http://dx.doi.org/10.3389/fmicb.2015.01028"/>
    <hyperlink ref="G154" r:id="rId81" display="http://dx.doi.org/10.1016/j.envpol.2014.09.017"/>
    <hyperlink ref="G155" r:id="rId82" display="http://dx.doi.org/10.1371/journal.pone.0124807"/>
    <hyperlink ref="G156" r:id="rId83" display="http://dx.doi.org/10.1590/1519-6984.03914"/>
    <hyperlink ref="G178" r:id="rId84" display="http://dx.doi.org/10.1111/j.1523-1739.2005.00101.x"/>
    <hyperlink ref="G177" r:id="rId85" display="http://dx.doi.org/10.1016/j.biocon.2005.11.008" tooltip="http://dx.doi.org/10.1016/j.biocon.2005.11.008"/>
    <hyperlink ref="G174" r:id="rId86" display="http://dx.doi.org/10.1111/j.1366-9516.2005.00226.x"/>
    <hyperlink ref="G173" r:id="rId87" display="http://dx.doi.org/10.1007/s10980-006-9012-3"/>
    <hyperlink ref="G172" r:id="rId88" display="http://dx.doi.org/10.1577/M06-186.1"/>
    <hyperlink ref="G170" r:id="rId89" display="http://dx.doi.org/10.1007/s10452-009-9307-y"/>
    <hyperlink ref="G171" r:id="rId90" display="http://dx.doi.org/10.1007/s10750-010-0320-x"/>
    <hyperlink ref="G168" r:id="rId89" display="http://dx.doi.org/10.1007/s10452-009-9307-y"/>
    <hyperlink ref="G169" r:id="rId89" display="http://dx.doi.org/10.1007/s10452-009-9307-y"/>
    <hyperlink ref="G157" r:id="rId91" display="http://dx.doi.org/10.1007/s11252-014-0352-5" tooltip="http://dx.doi.org/10.1007/s11252-014-0352-5"/>
    <hyperlink ref="G158" r:id="rId92" display="http://dx.doi.org/10.1127/fal/2014/0612"/>
    <hyperlink ref="G159" r:id="rId93" display="http://dx.doi.org/10.1111/1365-2664.12022"/>
    <hyperlink ref="G161" r:id="rId94" display="http://dx.doi.org/10.1007/s10641-012-0024-3"/>
    <hyperlink ref="G163" r:id="rId95" display="http://dx.doi.org/10.1590/S1679-62252012000300018"/>
    <hyperlink ref="G164" r:id="rId96" display="http://dx.doi.org/10.1007/s11252-011-0217-0"/>
    <hyperlink ref="G160" r:id="rId93" display="http://dx.doi.org/10.1111/1365-2664.12022"/>
    <hyperlink ref="G165" r:id="rId97" display="http://dx.doi.org/10.1002/iroh.201111297"/>
    <hyperlink ref="G167" r:id="rId98" display="http://dx.doi.org/10.1080/02757540.2011.575374"/>
    <hyperlink ref="G48" r:id="rId20" display="http://dx.doi.org/10.1007/s10750-022-05130-1"/>
    <hyperlink ref="G49" r:id="rId20" display="http://dx.doi.org/10.1007/s10750-022-05130-1"/>
    <hyperlink ref="G50" r:id="rId20" display="http://dx.doi.org/10.1007/s10750-022-05130-1"/>
    <hyperlink ref="G51" r:id="rId20" display="http://dx.doi.org/10.1007/s10750-022-05130-1"/>
    <hyperlink ref="G66" r:id="rId23" display="http://dx.doi.org/10.1007/s11252-022-01238-3"/>
    <hyperlink ref="G85" r:id="rId36" display="http://dx.doi.org/10.1590/1676-0611-BN-2020-1122"/>
    <hyperlink ref="G132" r:id="rId67" display="http://dx.doi.org/10.1007/s10531-016-1286-4"/>
    <hyperlink ref="G138" r:id="rId99" display="http://dx.doi.org/10.1016/j.biocon.2016.08.014"/>
    <hyperlink ref="G139" r:id="rId99" display="http://dx.doi.org/10.1016/j.biocon.2016.08.014"/>
    <hyperlink ref="G181" r:id="rId100" display="https://doi.org/10.1007/s11252-025-01808-1"/>
    <hyperlink ref="G182" r:id="rId101" display="https://doi.org/10.1186/s12862-025-02390-y"/>
    <hyperlink ref="G183" r:id="rId101" display="https://doi.org/10.1186/s12862-025-02390-y"/>
    <hyperlink ref="G184" r:id="rId102" display="https://doi.org/10.1016/j.ecoenv.2025.118930"/>
    <hyperlink ref="G185" r:id="rId102" display="https://doi.org/10.1016/j.ecoenv.2025.118930"/>
    <hyperlink ref="G188" r:id="rId103" display="https://doi.org/10.1093/cz/zoaf024"/>
    <hyperlink ref="G189" r:id="rId104" display="https://doi.org/10.1016/j.ecolind.2025.114259"/>
    <hyperlink ref="G191" r:id="rId105" display="https://doi.org/10.3390/d17090642"/>
    <hyperlink ref="G190" r:id="rId106" display="https://doi.org/10.1007/s11252-025-01844-x"/>
    <hyperlink ref="G192" r:id="rId107" display="https://doi.org/10.1016/j.ecolind.2025.113907"/>
    <hyperlink ref="G193" r:id="rId108" display="https://doi.org/10.34133/ehs.0450"/>
    <hyperlink ref="G194" r:id="rId108" display="https://doi.org/10.34133/ehs.0450"/>
    <hyperlink ref="G195" r:id="rId109" display="https://doi.org/10.1016/j.ecolind.2025.114363"/>
    <hyperlink ref="G196" r:id="rId109" display="https://doi.org/10.1016/j.ecolind.2025.114363"/>
    <hyperlink ref="G197" r:id="rId109" display="https://doi.org/10.1016/j.ecolind.2025.114363"/>
    <hyperlink ref="G198" r:id="rId110" display="https://doi.org/10.1016/j.ufug.2025.128862"/>
    <hyperlink ref="G199" r:id="rId111" display="https://doi.org/10.1016/j.jenvman.2025.127190"/>
    <hyperlink ref="G202" r:id="rId112" display="https://doi.org/10.1002/lno.70221"/>
    <hyperlink ref="G203" r:id="rId113" display="https://doi.org/10.1080/00275514.2025.2462525"/>
    <hyperlink ref="G35" r:id="rId114" display="http://dx.doi.org/10.1016/j.ecolind.2024.111706"/>
    <hyperlink ref="G43" r:id="rId18" display="http://dx.doi.org/10.1002/eap.2828"/>
    <hyperlink ref="G44" r:id="rId18" display="http://dx.doi.org/10.1002/eap.2828"/>
    <hyperlink ref="G72" r:id="rId115" display="http://dx.doi.org/10.1016/j.ecolind.2022.109441"/>
    <hyperlink ref="G88" r:id="rId116" display="http://dx.doi.org/10.1016/j.baae.2021.09.005"/>
    <hyperlink ref="G108" r:id="rId117" display="http://dx.doi.org/10.1016/j.ecolind.2020.106506"/>
    <hyperlink ref="G46" r:id="rId20" display="http://dx.doi.org/10.1007/s10750-022-05130-1"/>
    <hyperlink ref="G34" r:id="rId16" display="http://dx.doi.org/10.1016/j.watres.2024.121480"/>
    <hyperlink ref="G32" r:id="rId16" display="http://dx.doi.org/10.1016/j.watres.2024.121480"/>
    <hyperlink ref="G33" r:id="rId16" display="http://dx.doi.org/10.1016/j.watres.2024.121480"/>
    <hyperlink ref="G25" r:id="rId13" display="http://dx.doi.org/10.1016/j.scitotenv.2023.168178"/>
    <hyperlink ref="G17" r:id="rId118" display="http://dx.doi.org/10.1007/s00027-025-01162-6" tooltip="http://dx.doi.org/10.1007/s00027-025-01162-6"/>
    <hyperlink ref="G18" r:id="rId118" display="http://dx.doi.org/10.1007/s00027-025-01162-6" tooltip="http://dx.doi.org/10.1007/s00027-025-01162-6"/>
    <hyperlink ref="G19" r:id="rId118" display="http://dx.doi.org/10.1007/s00027-025-01162-6" tooltip="http://dx.doi.org/10.1007/s00027-025-01162-6"/>
    <hyperlink ref="G14" r:id="rId9" display="http://dx.doi.org/10.3390/su17010231"/>
    <hyperlink ref="G15" r:id="rId9" display="http://dx.doi.org/10.3390/su17010231"/>
    <hyperlink ref="G16" r:id="rId9" display="http://dx.doi.org/10.3390/su17010231"/>
    <hyperlink ref="G11" r:id="rId8" display="http://dx.doi.org/10.1016/j.ecolind.2024.112938"/>
    <hyperlink ref="G7" r:id="rId7" display="http://dx.doi.org/10.1007/s10750-025-05805-5"/>
    <hyperlink ref="G3" r:id="rId7" display="http://dx.doi.org/10.1007/s10750-025-05805-5"/>
    <hyperlink ref="G10" r:id="rId8" display="http://dx.doi.org/10.1016/j.ecolind.2024.112938"/>
    <hyperlink ref="G12" r:id="rId8" display="http://dx.doi.org/10.1016/j.ecolind.2024.112938"/>
    <hyperlink ref="G62" r:id="rId3" display="http://dx.doi.org/10.3390/ani12040473"/>
    <hyperlink ref="G63" r:id="rId3" display="http://dx.doi.org/10.3390/ani12040473"/>
    <hyperlink ref="G64" r:id="rId3" display="http://dx.doi.org/10.3390/ani12040473"/>
    <hyperlink ref="G77" r:id="rId29" display="http://dx.doi.org/10.1016/j.scitotenv.2022.153940" tooltip="http://dx.doi.org/10.1016/j.scitotenv.2022.153940"/>
    <hyperlink ref="G101" r:id="rId44" display="http://dx.doi.org/10.1016/j.ecolind.2019.105899"/>
    <hyperlink ref="G99" r:id="rId44" display="http://dx.doi.org/10.1016/j.ecolind.2019.105899"/>
    <hyperlink ref="G114" r:id="rId53" display="http://dx.doi.org/10.1186/s13717-019-0196-2"/>
    <hyperlink ref="G122" r:id="rId60" display="http://dx.doi.org/10.3390/w11091930"/>
    <hyperlink ref="G123" r:id="rId60" display="http://dx.doi.org/10.3390/w11091930"/>
    <hyperlink ref="G125" r:id="rId61" display="http://dx.doi.org/10.1007/s11270-018-4054-0"/>
    <hyperlink ref="G140" r:id="rId99" display="http://dx.doi.org/10.1016/j.biocon.2016.08.014"/>
    <hyperlink ref="G144" r:id="rId74" display="http://dx.doi.org/10.1007/s10750-016-2727-5"/>
    <hyperlink ref="G162" r:id="rId94" display="http://dx.doi.org/10.1007/s10641-012-0024-3"/>
    <hyperlink ref="G166" r:id="rId97" display="http://dx.doi.org/10.1002/iroh.201111297"/>
    <hyperlink ref="G186" r:id="rId102" display="https://doi.org/10.1016/j.ecoenv.2025.118930"/>
    <hyperlink ref="G187" r:id="rId102" display="https://doi.org/10.1016/j.ecoenv.2025.118930"/>
    <hyperlink ref="G200" r:id="rId111" display="https://doi.org/10.1016/j.jenvman.2025.127190"/>
    <hyperlink ref="G201" r:id="rId111" display="https://doi.org/10.1016/j.jenvman.2025.127190"/>
    <hyperlink ref="G26" r:id="rId13" display="http://dx.doi.org/10.1016/j.scitotenv.2023.168178"/>
    <hyperlink ref="G136" r:id="rId70" display="http://dx.doi.org/10.1007/s11252-015-0490-4"/>
    <hyperlink ref="G93" r:id="rId119" display="http://dx.doi.org/10.3389/fmars.2021.670288"/>
    <hyperlink ref="G94" r:id="rId119" display="http://dx.doi.org/10.3389/fmars.2021.670288"/>
    <hyperlink ref="G105" r:id="rId47" display="http://dx.doi.org/10.1016/j.ecss.2020.106729"/>
    <hyperlink ref="G41" r:id="rId18" display="http://dx.doi.org/10.1002/eap.2828"/>
    <hyperlink ref="G42" r:id="rId18" display="http://dx.doi.org/10.1002/eap.2828"/>
    <hyperlink ref="G36" r:id="rId120" display="http://dx.doi.org/10.3390/d15040486"/>
    <hyperlink ref="G37" r:id="rId120" display="http://dx.doi.org/10.3390/d15040486"/>
    <hyperlink ref="G23" r:id="rId121" display="http://dx.doi.org/10.1007/s13157-024-01878-5"/>
    <hyperlink ref="G96" r:id="rId41" display="http://dx.doi.org/10.3390/w12030698"/>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176"/>
  <sheetViews>
    <sheetView topLeftCell="A135" workbookViewId="0">
      <pane xSplit="2" topLeftCell="K1" activePane="topRight" state="frozen"/>
      <selection/>
      <selection pane="topRight" activeCell="T135" sqref="T$1:T$1048576"/>
    </sheetView>
  </sheetViews>
  <sheetFormatPr defaultColWidth="9" defaultRowHeight="14.25"/>
  <cols>
    <col min="2" max="2" width="52" customWidth="1"/>
    <col min="7" max="8" width="9.375"/>
    <col min="26" max="26" width="12.625"/>
    <col min="28" max="29" width="12.625"/>
    <col min="31" max="31" width="12.625"/>
    <col min="33" max="33" width="10.375"/>
    <col min="35" max="36" width="12.625"/>
    <col min="38" max="38" width="12.625"/>
    <col min="43" max="43" width="9.375"/>
    <col min="45" max="46" width="9.375"/>
    <col min="48" max="49" width="9.375"/>
    <col min="51" max="51" width="9.375"/>
  </cols>
  <sheetData>
    <row r="1" ht="57" spans="1:58">
      <c r="A1" t="s">
        <v>0</v>
      </c>
      <c r="B1" t="s">
        <v>1</v>
      </c>
      <c r="C1" t="s">
        <v>4</v>
      </c>
      <c r="D1" t="s">
        <v>5</v>
      </c>
      <c r="E1" t="s">
        <v>6</v>
      </c>
      <c r="F1" t="s">
        <v>7</v>
      </c>
      <c r="G1" t="s">
        <v>8</v>
      </c>
      <c r="H1" t="s">
        <v>9</v>
      </c>
      <c r="I1" t="s">
        <v>10</v>
      </c>
      <c r="J1" t="s">
        <v>11</v>
      </c>
      <c r="K1" t="s">
        <v>13</v>
      </c>
      <c r="L1" t="s">
        <v>14</v>
      </c>
      <c r="M1" t="s">
        <v>15</v>
      </c>
      <c r="N1" t="s">
        <v>16</v>
      </c>
      <c r="O1" t="s">
        <v>17</v>
      </c>
      <c r="P1" t="s">
        <v>18</v>
      </c>
      <c r="Q1" s="1" t="s">
        <v>19</v>
      </c>
      <c r="R1" t="s">
        <v>20</v>
      </c>
      <c r="S1" s="1" t="s">
        <v>21</v>
      </c>
      <c r="T1" s="1" t="s">
        <v>23</v>
      </c>
      <c r="U1" s="1" t="s">
        <v>24</v>
      </c>
      <c r="V1" s="1" t="s">
        <v>25</v>
      </c>
      <c r="W1" s="2" t="s">
        <v>26</v>
      </c>
      <c r="X1" s="2" t="s">
        <v>27</v>
      </c>
      <c r="Y1" s="2" t="s">
        <v>28</v>
      </c>
      <c r="Z1" s="3" t="s">
        <v>29</v>
      </c>
      <c r="AA1" s="3" t="s">
        <v>30</v>
      </c>
      <c r="AB1" s="3" t="s">
        <v>31</v>
      </c>
      <c r="AC1" s="4" t="s">
        <v>32</v>
      </c>
      <c r="AD1" s="4" t="s">
        <v>33</v>
      </c>
      <c r="AE1" s="4" t="s">
        <v>34</v>
      </c>
      <c r="AF1" s="5" t="s">
        <v>35</v>
      </c>
      <c r="AG1" s="6" t="s">
        <v>36</v>
      </c>
      <c r="AH1" s="6" t="s">
        <v>37</v>
      </c>
      <c r="AI1" s="6" t="s">
        <v>38</v>
      </c>
      <c r="AJ1" s="6" t="s">
        <v>39</v>
      </c>
      <c r="AK1" s="6" t="s">
        <v>40</v>
      </c>
      <c r="AL1" s="6" t="s">
        <v>41</v>
      </c>
      <c r="AM1" s="7" t="s">
        <v>42</v>
      </c>
      <c r="AN1" s="7" t="s">
        <v>43</v>
      </c>
      <c r="AO1" s="7" t="s">
        <v>44</v>
      </c>
      <c r="AP1" s="7" t="s">
        <v>45</v>
      </c>
      <c r="AQ1" s="7" t="s">
        <v>46</v>
      </c>
      <c r="AR1" s="7" t="s">
        <v>47</v>
      </c>
      <c r="AS1" s="7" t="s">
        <v>48</v>
      </c>
      <c r="AT1" s="7" t="s">
        <v>49</v>
      </c>
      <c r="AU1" s="7" t="s">
        <v>50</v>
      </c>
      <c r="AV1" s="7" t="s">
        <v>51</v>
      </c>
      <c r="AW1" s="7" t="s">
        <v>52</v>
      </c>
      <c r="AX1" s="7" t="s">
        <v>53</v>
      </c>
      <c r="AY1" s="7" t="s">
        <v>54</v>
      </c>
      <c r="AZ1" s="8" t="s">
        <v>56</v>
      </c>
      <c r="BA1" s="1" t="s">
        <v>57</v>
      </c>
      <c r="BB1" s="7" t="s">
        <v>58</v>
      </c>
      <c r="BC1" s="9" t="s">
        <v>59</v>
      </c>
      <c r="BD1" s="9" t="s">
        <v>60</v>
      </c>
      <c r="BE1" s="10" t="s">
        <v>61</v>
      </c>
      <c r="BF1" s="11" t="s">
        <v>62</v>
      </c>
    </row>
    <row r="2" ht="28.5" spans="1:58">
      <c r="A2">
        <v>1</v>
      </c>
      <c r="B2" t="s">
        <v>63</v>
      </c>
      <c r="C2" t="s">
        <v>66</v>
      </c>
      <c r="D2">
        <v>2025</v>
      </c>
      <c r="E2" s="12" t="s">
        <v>67</v>
      </c>
      <c r="F2" t="s">
        <v>68</v>
      </c>
      <c r="G2">
        <v>41.8025</v>
      </c>
      <c r="H2">
        <v>123.4281</v>
      </c>
      <c r="I2">
        <v>21</v>
      </c>
      <c r="J2" t="s">
        <v>69</v>
      </c>
      <c r="K2" t="s">
        <v>70</v>
      </c>
      <c r="L2" t="s">
        <v>71</v>
      </c>
      <c r="M2" t="s">
        <v>72</v>
      </c>
      <c r="N2" t="s">
        <v>72</v>
      </c>
      <c r="O2" t="s">
        <v>72</v>
      </c>
      <c r="P2" t="s">
        <v>73</v>
      </c>
      <c r="Q2" t="s">
        <v>74</v>
      </c>
      <c r="R2" t="s">
        <v>75</v>
      </c>
      <c r="S2" s="1" t="s">
        <v>76</v>
      </c>
      <c r="T2" s="1" t="s">
        <v>76</v>
      </c>
      <c r="U2" s="1" t="s">
        <v>76</v>
      </c>
      <c r="V2" s="1" t="s">
        <v>78</v>
      </c>
      <c r="W2" s="13">
        <v>21.5</v>
      </c>
      <c r="X2" s="13" t="s">
        <v>79</v>
      </c>
      <c r="Y2" s="13" t="s">
        <v>80</v>
      </c>
      <c r="Z2" s="3">
        <v>7.923</v>
      </c>
      <c r="AA2" s="3">
        <v>14</v>
      </c>
      <c r="AB2" s="3">
        <v>3.099</v>
      </c>
      <c r="AC2" s="4">
        <v>7.364</v>
      </c>
      <c r="AD2" s="3">
        <v>10</v>
      </c>
      <c r="AE2" s="3">
        <v>3.916</v>
      </c>
      <c r="AF2" s="5" t="s">
        <v>81</v>
      </c>
      <c r="AG2" s="14">
        <v>1.707</v>
      </c>
      <c r="AH2" s="14">
        <v>14</v>
      </c>
      <c r="AI2" s="14">
        <v>0.218</v>
      </c>
      <c r="AJ2" s="14">
        <v>1.214</v>
      </c>
      <c r="AK2" s="14">
        <v>10</v>
      </c>
      <c r="AL2" s="14">
        <v>0.806</v>
      </c>
      <c r="AM2" s="7"/>
      <c r="AN2" s="15"/>
      <c r="AO2" s="15"/>
      <c r="AP2" s="7"/>
      <c r="AQ2" s="7"/>
      <c r="AR2" s="7"/>
      <c r="AS2" s="7"/>
      <c r="AT2" s="7"/>
      <c r="AU2" s="7"/>
      <c r="AV2" s="7"/>
      <c r="AW2" s="7"/>
      <c r="AX2" s="7"/>
      <c r="AY2" s="7"/>
      <c r="AZ2" s="8"/>
      <c r="BA2" s="16"/>
      <c r="BB2" s="7"/>
      <c r="BC2" s="9" t="s">
        <v>82</v>
      </c>
      <c r="BD2" s="9" t="s">
        <v>82</v>
      </c>
      <c r="BE2" s="10" t="str">
        <f t="shared" ref="BE2:BE8" si="0">IF(ABS(G2)&lt;23.5,"tropic",IF(ABS(G2)&lt;40,"subtropic",IF(ABS(G2)&lt;60,"temperate","arctic")))</f>
        <v>temperate</v>
      </c>
      <c r="BF2" s="11" t="s">
        <v>1026</v>
      </c>
    </row>
    <row r="3" ht="28.5" spans="1:58">
      <c r="A3">
        <v>2</v>
      </c>
      <c r="B3" t="s">
        <v>84</v>
      </c>
      <c r="C3" t="s">
        <v>87</v>
      </c>
      <c r="D3">
        <v>2025</v>
      </c>
      <c r="E3" s="12" t="s">
        <v>88</v>
      </c>
      <c r="F3" t="s">
        <v>68</v>
      </c>
      <c r="G3">
        <v>29.5657</v>
      </c>
      <c r="H3">
        <v>106.5512</v>
      </c>
      <c r="I3">
        <v>14</v>
      </c>
      <c r="J3" t="s">
        <v>89</v>
      </c>
      <c r="K3" t="s">
        <v>70</v>
      </c>
      <c r="L3" t="s">
        <v>71</v>
      </c>
      <c r="M3" t="s">
        <v>72</v>
      </c>
      <c r="N3" t="s">
        <v>72</v>
      </c>
      <c r="O3" t="s">
        <v>72</v>
      </c>
      <c r="P3" t="s">
        <v>73</v>
      </c>
      <c r="Q3" t="s">
        <v>74</v>
      </c>
      <c r="R3" t="s">
        <v>90</v>
      </c>
      <c r="S3" s="1" t="s">
        <v>91</v>
      </c>
      <c r="T3" s="1" t="s">
        <v>92</v>
      </c>
      <c r="U3" s="1" t="s">
        <v>92</v>
      </c>
      <c r="V3" s="1" t="s">
        <v>92</v>
      </c>
      <c r="W3" s="13">
        <v>223.8</v>
      </c>
      <c r="X3" s="13" t="s">
        <v>93</v>
      </c>
      <c r="Y3" s="13" t="s">
        <v>94</v>
      </c>
      <c r="Z3" s="4"/>
      <c r="AA3" s="3"/>
      <c r="AB3" s="3"/>
      <c r="AC3" s="4"/>
      <c r="AD3" s="3"/>
      <c r="AE3" s="3"/>
      <c r="AF3" s="5"/>
      <c r="AG3" s="6"/>
      <c r="AH3" s="6"/>
      <c r="AI3" s="6"/>
      <c r="AJ3" s="6"/>
      <c r="AK3" s="6"/>
      <c r="AL3" s="6"/>
      <c r="AM3" s="7">
        <v>1</v>
      </c>
      <c r="AN3" s="15" t="s">
        <v>95</v>
      </c>
      <c r="AO3" s="15" t="s">
        <v>96</v>
      </c>
      <c r="AP3" s="7" t="s">
        <v>97</v>
      </c>
      <c r="AQ3" s="7">
        <v>0.32074</v>
      </c>
      <c r="AR3" s="7">
        <v>15</v>
      </c>
      <c r="AS3" s="7">
        <v>0.182152</v>
      </c>
      <c r="AT3" s="7">
        <v>0.255494</v>
      </c>
      <c r="AU3" s="7">
        <v>55</v>
      </c>
      <c r="AV3" s="7">
        <v>0.187314</v>
      </c>
      <c r="AW3" s="7">
        <v>0.270147</v>
      </c>
      <c r="AX3" s="7">
        <v>66</v>
      </c>
      <c r="AY3" s="7">
        <v>0.194502</v>
      </c>
      <c r="AZ3" s="8" t="s">
        <v>99</v>
      </c>
      <c r="BA3" s="1" t="s">
        <v>100</v>
      </c>
      <c r="BB3" s="7" t="s">
        <v>101</v>
      </c>
      <c r="BC3" s="9" t="s">
        <v>82</v>
      </c>
      <c r="BD3" s="9" t="s">
        <v>82</v>
      </c>
      <c r="BE3" s="10" t="str">
        <f t="shared" si="0"/>
        <v>subtropic</v>
      </c>
      <c r="BF3" s="11" t="s">
        <v>1026</v>
      </c>
    </row>
    <row r="4" spans="1:58">
      <c r="A4">
        <v>4</v>
      </c>
      <c r="B4" t="s">
        <v>84</v>
      </c>
      <c r="C4" t="s">
        <v>87</v>
      </c>
      <c r="D4">
        <v>2025</v>
      </c>
      <c r="E4" s="12" t="s">
        <v>88</v>
      </c>
      <c r="F4" t="s">
        <v>68</v>
      </c>
      <c r="G4">
        <v>29.5657</v>
      </c>
      <c r="H4">
        <v>106.5512</v>
      </c>
      <c r="I4">
        <v>14</v>
      </c>
      <c r="J4" t="s">
        <v>89</v>
      </c>
      <c r="K4" t="s">
        <v>70</v>
      </c>
      <c r="L4" t="s">
        <v>71</v>
      </c>
      <c r="M4" t="s">
        <v>72</v>
      </c>
      <c r="N4" t="s">
        <v>72</v>
      </c>
      <c r="O4" t="s">
        <v>72</v>
      </c>
      <c r="P4" t="s">
        <v>73</v>
      </c>
      <c r="Q4" t="s">
        <v>74</v>
      </c>
      <c r="R4" t="s">
        <v>90</v>
      </c>
      <c r="S4" s="1" t="s">
        <v>91</v>
      </c>
      <c r="T4" s="1" t="s">
        <v>92</v>
      </c>
      <c r="U4" s="1" t="s">
        <v>92</v>
      </c>
      <c r="V4" s="1" t="s">
        <v>92</v>
      </c>
      <c r="W4" s="13">
        <v>223.8</v>
      </c>
      <c r="X4" s="13" t="s">
        <v>93</v>
      </c>
      <c r="Y4" s="13" t="s">
        <v>94</v>
      </c>
      <c r="Z4" s="4">
        <v>1048.356</v>
      </c>
      <c r="AA4" s="3">
        <v>12</v>
      </c>
      <c r="AB4" s="3">
        <v>128.3682</v>
      </c>
      <c r="AC4" s="4">
        <v>1138.945</v>
      </c>
      <c r="AD4" s="3">
        <v>6</v>
      </c>
      <c r="AE4" s="3">
        <v>118.3384</v>
      </c>
      <c r="AF4" s="5" t="s">
        <v>81</v>
      </c>
      <c r="AG4" s="6">
        <v>4.679</v>
      </c>
      <c r="AH4" s="6">
        <v>12</v>
      </c>
      <c r="AI4" s="6">
        <v>0.649</v>
      </c>
      <c r="AJ4" s="6">
        <v>4.657</v>
      </c>
      <c r="AK4" s="6">
        <v>6</v>
      </c>
      <c r="AL4" s="6">
        <v>1.436</v>
      </c>
      <c r="AM4" s="7"/>
      <c r="AN4" s="15"/>
      <c r="AO4" s="15"/>
      <c r="AP4" s="7"/>
      <c r="AQ4" s="7"/>
      <c r="AR4" s="7"/>
      <c r="AS4" s="7"/>
      <c r="AT4" s="7"/>
      <c r="AU4" s="7"/>
      <c r="AV4" s="7"/>
      <c r="AW4" s="7"/>
      <c r="AX4" s="7"/>
      <c r="AY4" s="7"/>
      <c r="AZ4" s="8" t="s">
        <v>99</v>
      </c>
      <c r="BA4" s="1" t="s">
        <v>104</v>
      </c>
      <c r="BB4" s="7"/>
      <c r="BC4" s="9" t="s">
        <v>82</v>
      </c>
      <c r="BD4" s="9" t="s">
        <v>82</v>
      </c>
      <c r="BE4" s="10" t="str">
        <f t="shared" si="0"/>
        <v>subtropic</v>
      </c>
      <c r="BF4" s="11" t="s">
        <v>1026</v>
      </c>
    </row>
    <row r="5" spans="1:58">
      <c r="A5">
        <v>6</v>
      </c>
      <c r="B5" t="s">
        <v>84</v>
      </c>
      <c r="C5" t="s">
        <v>87</v>
      </c>
      <c r="D5">
        <v>2025</v>
      </c>
      <c r="E5" s="12" t="s">
        <v>88</v>
      </c>
      <c r="F5" t="s">
        <v>68</v>
      </c>
      <c r="G5">
        <v>29.5657</v>
      </c>
      <c r="H5">
        <v>106.5512</v>
      </c>
      <c r="I5">
        <v>14</v>
      </c>
      <c r="J5" t="s">
        <v>89</v>
      </c>
      <c r="K5" t="s">
        <v>70</v>
      </c>
      <c r="L5" t="s">
        <v>71</v>
      </c>
      <c r="M5" t="s">
        <v>72</v>
      </c>
      <c r="N5" t="s">
        <v>72</v>
      </c>
      <c r="O5" t="s">
        <v>72</v>
      </c>
      <c r="P5" t="s">
        <v>73</v>
      </c>
      <c r="Q5" t="s">
        <v>74</v>
      </c>
      <c r="R5" t="s">
        <v>90</v>
      </c>
      <c r="S5" s="1" t="s">
        <v>91</v>
      </c>
      <c r="T5" s="1" t="s">
        <v>92</v>
      </c>
      <c r="U5" s="1" t="s">
        <v>92</v>
      </c>
      <c r="V5" s="1" t="s">
        <v>92</v>
      </c>
      <c r="W5" s="13">
        <v>223.8</v>
      </c>
      <c r="X5" s="13" t="s">
        <v>93</v>
      </c>
      <c r="Y5" s="13" t="s">
        <v>94</v>
      </c>
      <c r="Z5" s="4">
        <v>362.437</v>
      </c>
      <c r="AA5" s="3">
        <v>12</v>
      </c>
      <c r="AB5" s="3">
        <v>57.323</v>
      </c>
      <c r="AC5" s="4">
        <v>409.96</v>
      </c>
      <c r="AD5" s="3">
        <v>6</v>
      </c>
      <c r="AE5" s="3">
        <v>123.421</v>
      </c>
      <c r="AF5" s="5" t="s">
        <v>81</v>
      </c>
      <c r="AG5" s="6">
        <v>5.331</v>
      </c>
      <c r="AH5" s="6">
        <v>12</v>
      </c>
      <c r="AI5" s="6">
        <v>0.237</v>
      </c>
      <c r="AJ5" s="6">
        <v>5.42</v>
      </c>
      <c r="AK5" s="6">
        <v>6</v>
      </c>
      <c r="AL5" s="6">
        <v>0.108</v>
      </c>
      <c r="AM5" s="7"/>
      <c r="AN5" s="15"/>
      <c r="AO5" s="15"/>
      <c r="AP5" s="7"/>
      <c r="AQ5" s="7"/>
      <c r="AR5" s="7"/>
      <c r="AS5" s="7"/>
      <c r="AT5" s="7"/>
      <c r="AU5" s="7"/>
      <c r="AV5" s="7"/>
      <c r="AW5" s="7"/>
      <c r="AX5" s="7"/>
      <c r="AY5" s="7"/>
      <c r="AZ5" s="8" t="s">
        <v>99</v>
      </c>
      <c r="BA5" s="1" t="s">
        <v>105</v>
      </c>
      <c r="BB5" s="7"/>
      <c r="BC5" s="9" t="s">
        <v>82</v>
      </c>
      <c r="BD5" s="9" t="s">
        <v>82</v>
      </c>
      <c r="BE5" s="10" t="str">
        <f t="shared" si="0"/>
        <v>subtropic</v>
      </c>
      <c r="BF5" s="11" t="s">
        <v>1026</v>
      </c>
    </row>
    <row r="6" ht="28.5" spans="1:58">
      <c r="A6">
        <v>8</v>
      </c>
      <c r="B6" t="s">
        <v>106</v>
      </c>
      <c r="C6" t="s">
        <v>109</v>
      </c>
      <c r="D6">
        <v>2025</v>
      </c>
      <c r="E6" s="12" t="s">
        <v>110</v>
      </c>
      <c r="F6" t="s">
        <v>68</v>
      </c>
      <c r="G6">
        <v>22.3193</v>
      </c>
      <c r="H6">
        <v>114.1694</v>
      </c>
      <c r="I6">
        <v>11</v>
      </c>
      <c r="J6" t="s">
        <v>111</v>
      </c>
      <c r="K6" t="s">
        <v>70</v>
      </c>
      <c r="L6" t="s">
        <v>71</v>
      </c>
      <c r="M6" t="s">
        <v>112</v>
      </c>
      <c r="N6" t="s">
        <v>113</v>
      </c>
      <c r="O6" t="s">
        <v>114</v>
      </c>
      <c r="P6" t="s">
        <v>115</v>
      </c>
      <c r="Q6" t="s">
        <v>116</v>
      </c>
      <c r="R6" t="s">
        <v>75</v>
      </c>
      <c r="S6" s="1" t="s">
        <v>117</v>
      </c>
      <c r="T6" s="1" t="s">
        <v>117</v>
      </c>
      <c r="U6" s="1" t="s">
        <v>117</v>
      </c>
      <c r="V6" s="1" t="s">
        <v>118</v>
      </c>
      <c r="W6" s="13">
        <v>55</v>
      </c>
      <c r="X6" s="13" t="s">
        <v>119</v>
      </c>
      <c r="Y6" s="13" t="s">
        <v>80</v>
      </c>
      <c r="Z6" s="3">
        <v>47.306</v>
      </c>
      <c r="AA6" s="3">
        <v>5</v>
      </c>
      <c r="AB6" s="3">
        <v>12.12</v>
      </c>
      <c r="AC6" s="4">
        <v>40.582</v>
      </c>
      <c r="AD6" s="3">
        <v>5</v>
      </c>
      <c r="AE6" s="3">
        <v>7.065</v>
      </c>
      <c r="AF6" s="5"/>
      <c r="AG6" s="14"/>
      <c r="AH6" s="14"/>
      <c r="AI6" s="14"/>
      <c r="AJ6" s="14"/>
      <c r="AK6" s="14"/>
      <c r="AL6" s="14"/>
      <c r="AM6" s="7">
        <v>2</v>
      </c>
      <c r="AN6" s="15" t="s">
        <v>120</v>
      </c>
      <c r="AO6" s="15" t="s">
        <v>121</v>
      </c>
      <c r="AP6" s="7" t="s">
        <v>122</v>
      </c>
      <c r="AQ6" s="7">
        <v>0.996204</v>
      </c>
      <c r="AR6" s="7">
        <v>10</v>
      </c>
      <c r="AS6" s="7">
        <v>0.398058</v>
      </c>
      <c r="AT6" s="7">
        <v>0.316146</v>
      </c>
      <c r="AU6" s="7">
        <v>10</v>
      </c>
      <c r="AV6" s="7">
        <v>0.145229</v>
      </c>
      <c r="AW6" s="7">
        <v>1.391291</v>
      </c>
      <c r="AX6" s="7">
        <v>25</v>
      </c>
      <c r="AY6" s="7">
        <v>0.546727</v>
      </c>
      <c r="AZ6" s="8" t="s">
        <v>123</v>
      </c>
      <c r="BA6" s="1" t="s">
        <v>124</v>
      </c>
      <c r="BB6" s="7" t="s">
        <v>101</v>
      </c>
      <c r="BC6" s="9" t="s">
        <v>125</v>
      </c>
      <c r="BD6" s="9" t="s">
        <v>126</v>
      </c>
      <c r="BE6" s="10" t="str">
        <f t="shared" si="0"/>
        <v>tropic</v>
      </c>
      <c r="BF6" s="11"/>
    </row>
    <row r="7" ht="28.5" spans="1:58">
      <c r="A7">
        <v>9</v>
      </c>
      <c r="B7" t="s">
        <v>106</v>
      </c>
      <c r="C7" t="s">
        <v>109</v>
      </c>
      <c r="D7">
        <v>2025</v>
      </c>
      <c r="E7" s="12" t="s">
        <v>110</v>
      </c>
      <c r="F7" t="s">
        <v>68</v>
      </c>
      <c r="G7">
        <v>22.3193</v>
      </c>
      <c r="H7">
        <v>114.1694</v>
      </c>
      <c r="I7">
        <v>11</v>
      </c>
      <c r="J7" t="s">
        <v>111</v>
      </c>
      <c r="K7" t="s">
        <v>70</v>
      </c>
      <c r="L7" t="s">
        <v>71</v>
      </c>
      <c r="M7" t="s">
        <v>112</v>
      </c>
      <c r="N7" t="s">
        <v>113</v>
      </c>
      <c r="O7" t="s">
        <v>114</v>
      </c>
      <c r="P7" t="s">
        <v>115</v>
      </c>
      <c r="Q7" t="s">
        <v>116</v>
      </c>
      <c r="R7" t="s">
        <v>75</v>
      </c>
      <c r="S7" s="1" t="s">
        <v>117</v>
      </c>
      <c r="T7" s="1" t="s">
        <v>117</v>
      </c>
      <c r="U7" s="1" t="s">
        <v>117</v>
      </c>
      <c r="V7" s="1" t="s">
        <v>118</v>
      </c>
      <c r="W7" s="13">
        <v>55</v>
      </c>
      <c r="X7" s="13" t="s">
        <v>119</v>
      </c>
      <c r="Y7" s="13" t="s">
        <v>80</v>
      </c>
      <c r="Z7" s="3">
        <v>4.063</v>
      </c>
      <c r="AA7" s="3">
        <v>5</v>
      </c>
      <c r="AB7" s="3">
        <v>2.01</v>
      </c>
      <c r="AC7" s="4">
        <v>22.666</v>
      </c>
      <c r="AD7" s="3">
        <v>5</v>
      </c>
      <c r="AE7" s="3">
        <v>1.218</v>
      </c>
      <c r="AF7" s="5"/>
      <c r="AG7" s="14"/>
      <c r="AH7" s="14"/>
      <c r="AI7" s="14"/>
      <c r="AJ7" s="14"/>
      <c r="AK7" s="14"/>
      <c r="AL7" s="14"/>
      <c r="AM7" s="7"/>
      <c r="AN7" s="15"/>
      <c r="AO7" s="15"/>
      <c r="AP7" s="7"/>
      <c r="AQ7" s="7"/>
      <c r="AR7" s="7"/>
      <c r="AS7" s="7"/>
      <c r="AT7" s="7"/>
      <c r="AU7" s="7"/>
      <c r="AV7" s="7"/>
      <c r="AW7" s="7"/>
      <c r="AX7" s="7"/>
      <c r="AY7" s="7"/>
      <c r="AZ7" s="8" t="s">
        <v>123</v>
      </c>
      <c r="BA7" s="1" t="s">
        <v>128</v>
      </c>
      <c r="BB7" s="7"/>
      <c r="BC7" s="9" t="s">
        <v>125</v>
      </c>
      <c r="BD7" s="9" t="s">
        <v>126</v>
      </c>
      <c r="BE7" s="10" t="str">
        <f t="shared" si="0"/>
        <v>tropic</v>
      </c>
      <c r="BF7" s="11"/>
    </row>
    <row r="8" spans="1:58">
      <c r="A8">
        <v>12</v>
      </c>
      <c r="B8" t="s">
        <v>130</v>
      </c>
      <c r="C8" t="s">
        <v>133</v>
      </c>
      <c r="D8">
        <v>2025</v>
      </c>
      <c r="E8" s="12" t="s">
        <v>134</v>
      </c>
      <c r="F8" t="s">
        <v>68</v>
      </c>
      <c r="G8">
        <v>39.0851</v>
      </c>
      <c r="H8">
        <v>117.1994</v>
      </c>
      <c r="I8">
        <v>21</v>
      </c>
      <c r="J8" t="s">
        <v>69</v>
      </c>
      <c r="K8" t="s">
        <v>70</v>
      </c>
      <c r="L8" t="s">
        <v>71</v>
      </c>
      <c r="M8" t="s">
        <v>72</v>
      </c>
      <c r="N8" t="s">
        <v>72</v>
      </c>
      <c r="O8" t="s">
        <v>72</v>
      </c>
      <c r="P8" t="s">
        <v>73</v>
      </c>
      <c r="Q8" t="s">
        <v>74</v>
      </c>
      <c r="R8" t="s">
        <v>75</v>
      </c>
      <c r="S8" s="1" t="s">
        <v>117</v>
      </c>
      <c r="T8" s="1" t="s">
        <v>117</v>
      </c>
      <c r="U8" s="1" t="s">
        <v>117</v>
      </c>
      <c r="V8" s="1" t="s">
        <v>118</v>
      </c>
      <c r="W8" s="13">
        <v>27</v>
      </c>
      <c r="X8" s="13" t="s">
        <v>79</v>
      </c>
      <c r="Y8" s="13" t="s">
        <v>80</v>
      </c>
      <c r="Z8" s="3">
        <v>2.059</v>
      </c>
      <c r="AA8" s="3">
        <v>4</v>
      </c>
      <c r="AB8" s="3">
        <v>0.626</v>
      </c>
      <c r="AC8" s="3">
        <v>2.448</v>
      </c>
      <c r="AD8" s="3">
        <v>3</v>
      </c>
      <c r="AE8" s="3">
        <v>0.616</v>
      </c>
      <c r="AF8" s="5" t="s">
        <v>81</v>
      </c>
      <c r="AG8" s="14">
        <v>1.466</v>
      </c>
      <c r="AH8" s="14">
        <v>4</v>
      </c>
      <c r="AI8" s="14">
        <v>0.596</v>
      </c>
      <c r="AJ8" s="14">
        <v>1.785</v>
      </c>
      <c r="AK8" s="14">
        <v>3</v>
      </c>
      <c r="AL8" s="14">
        <v>0.317</v>
      </c>
      <c r="AM8" s="7"/>
      <c r="AN8" s="15"/>
      <c r="AO8" s="15"/>
      <c r="AP8" s="7"/>
      <c r="AQ8" s="7"/>
      <c r="AR8" s="7"/>
      <c r="AS8" s="7"/>
      <c r="AT8" s="7"/>
      <c r="AU8" s="7"/>
      <c r="AV8" s="7"/>
      <c r="AW8" s="7"/>
      <c r="AX8" s="7"/>
      <c r="AY8" s="7"/>
      <c r="AZ8" s="8" t="s">
        <v>135</v>
      </c>
      <c r="BA8" s="1" t="s">
        <v>136</v>
      </c>
      <c r="BB8" s="7"/>
      <c r="BC8" s="9" t="s">
        <v>82</v>
      </c>
      <c r="BD8" s="9" t="s">
        <v>82</v>
      </c>
      <c r="BE8" s="10" t="str">
        <f t="shared" si="0"/>
        <v>subtropic</v>
      </c>
      <c r="BF8" s="11"/>
    </row>
    <row r="9" ht="99.75" spans="1:58">
      <c r="A9">
        <v>16</v>
      </c>
      <c r="B9" t="s">
        <v>140</v>
      </c>
      <c r="C9" t="s">
        <v>143</v>
      </c>
      <c r="D9">
        <v>2025</v>
      </c>
      <c r="E9" s="12" t="s">
        <v>144</v>
      </c>
      <c r="F9" t="s">
        <v>145</v>
      </c>
      <c r="G9">
        <v>-23.421</v>
      </c>
      <c r="H9">
        <v>-51.9331</v>
      </c>
      <c r="I9">
        <v>14</v>
      </c>
      <c r="J9" t="s">
        <v>89</v>
      </c>
      <c r="K9" t="s">
        <v>70</v>
      </c>
      <c r="L9" t="s">
        <v>146</v>
      </c>
      <c r="M9" t="s">
        <v>147</v>
      </c>
      <c r="N9" t="s">
        <v>72</v>
      </c>
      <c r="O9" t="s">
        <v>147</v>
      </c>
      <c r="P9" t="s">
        <v>148</v>
      </c>
      <c r="Q9" t="s">
        <v>74</v>
      </c>
      <c r="R9" t="s">
        <v>75</v>
      </c>
      <c r="S9" s="1" t="s">
        <v>117</v>
      </c>
      <c r="T9" s="1" t="s">
        <v>117</v>
      </c>
      <c r="U9" s="1" t="s">
        <v>117</v>
      </c>
      <c r="V9" s="1" t="s">
        <v>118</v>
      </c>
      <c r="W9" s="13">
        <v>19</v>
      </c>
      <c r="X9" s="13" t="s">
        <v>79</v>
      </c>
      <c r="Y9" s="13" t="s">
        <v>80</v>
      </c>
      <c r="Z9" s="3">
        <v>6.961</v>
      </c>
      <c r="AA9" s="3">
        <v>5</v>
      </c>
      <c r="AB9" s="3">
        <v>3.939</v>
      </c>
      <c r="AC9" s="3">
        <v>4.401</v>
      </c>
      <c r="AD9" s="3">
        <v>5</v>
      </c>
      <c r="AE9" s="3">
        <v>1.131</v>
      </c>
      <c r="AF9" s="5" t="s">
        <v>81</v>
      </c>
      <c r="AG9" s="14">
        <v>1.51</v>
      </c>
      <c r="AH9" s="14">
        <v>5</v>
      </c>
      <c r="AI9" s="14">
        <v>0.636</v>
      </c>
      <c r="AJ9" s="14">
        <v>0.943</v>
      </c>
      <c r="AK9" s="14">
        <v>5</v>
      </c>
      <c r="AL9" s="14">
        <v>0.706</v>
      </c>
      <c r="AM9" s="7">
        <v>32</v>
      </c>
      <c r="AN9" s="15" t="s">
        <v>149</v>
      </c>
      <c r="AO9" s="15" t="s">
        <v>150</v>
      </c>
      <c r="AP9" s="7" t="s">
        <v>97</v>
      </c>
      <c r="AQ9" s="7">
        <v>0.275466</v>
      </c>
      <c r="AR9" s="7">
        <v>10</v>
      </c>
      <c r="AS9" s="7">
        <v>0.115366</v>
      </c>
      <c r="AT9" s="7">
        <v>0.185807</v>
      </c>
      <c r="AU9" s="7">
        <v>10</v>
      </c>
      <c r="AV9" s="7">
        <v>0.147484</v>
      </c>
      <c r="AW9" s="7">
        <v>0.57752</v>
      </c>
      <c r="AX9" s="7">
        <v>25</v>
      </c>
      <c r="AY9" s="7">
        <v>0.193983</v>
      </c>
      <c r="AZ9" s="8" t="s">
        <v>151</v>
      </c>
      <c r="BA9" s="1" t="s">
        <v>152</v>
      </c>
      <c r="BB9" s="7"/>
      <c r="BC9" s="9" t="s">
        <v>153</v>
      </c>
      <c r="BD9" s="9" t="s">
        <v>126</v>
      </c>
      <c r="BE9" s="10" t="str">
        <f t="shared" ref="BE9:BE14" si="1">IF(ABS(G9)&lt;23.5,"tropic",IF(ABS(G9)&lt;40,"subtropic",IF(ABS(G9)&lt;60,"temperate","arctic")))</f>
        <v>tropic</v>
      </c>
      <c r="BF9" s="11" t="s">
        <v>594</v>
      </c>
    </row>
    <row r="10" ht="28.5" spans="1:58">
      <c r="A10">
        <v>17</v>
      </c>
      <c r="B10" t="s">
        <v>140</v>
      </c>
      <c r="C10" t="s">
        <v>143</v>
      </c>
      <c r="D10">
        <v>2025</v>
      </c>
      <c r="E10" s="12" t="s">
        <v>144</v>
      </c>
      <c r="F10" t="s">
        <v>145</v>
      </c>
      <c r="G10">
        <v>-23.421</v>
      </c>
      <c r="H10">
        <v>-51.9331</v>
      </c>
      <c r="I10">
        <v>14</v>
      </c>
      <c r="J10" t="s">
        <v>89</v>
      </c>
      <c r="K10" t="s">
        <v>70</v>
      </c>
      <c r="L10" t="s">
        <v>146</v>
      </c>
      <c r="M10" t="s">
        <v>147</v>
      </c>
      <c r="N10" t="s">
        <v>72</v>
      </c>
      <c r="O10" t="s">
        <v>147</v>
      </c>
      <c r="P10" t="s">
        <v>148</v>
      </c>
      <c r="Q10" t="s">
        <v>74</v>
      </c>
      <c r="R10" t="s">
        <v>75</v>
      </c>
      <c r="S10" s="1" t="s">
        <v>117</v>
      </c>
      <c r="T10" s="1" t="s">
        <v>117</v>
      </c>
      <c r="U10" s="1" t="s">
        <v>117</v>
      </c>
      <c r="V10" s="1" t="s">
        <v>118</v>
      </c>
      <c r="W10" s="13">
        <v>19</v>
      </c>
      <c r="X10" s="13" t="s">
        <v>79</v>
      </c>
      <c r="Y10" s="13" t="s">
        <v>80</v>
      </c>
      <c r="Z10" s="3">
        <v>6.022</v>
      </c>
      <c r="AA10" s="3">
        <v>5</v>
      </c>
      <c r="AB10" s="3">
        <v>1.97</v>
      </c>
      <c r="AC10" s="3">
        <v>4.402</v>
      </c>
      <c r="AD10" s="3">
        <v>5</v>
      </c>
      <c r="AE10" s="3">
        <v>3.01</v>
      </c>
      <c r="AF10" s="5" t="s">
        <v>81</v>
      </c>
      <c r="AG10" s="14">
        <v>1.374</v>
      </c>
      <c r="AH10" s="14">
        <v>5</v>
      </c>
      <c r="AI10" s="14">
        <v>0.12</v>
      </c>
      <c r="AJ10" s="14">
        <v>0.568</v>
      </c>
      <c r="AK10" s="14">
        <v>5</v>
      </c>
      <c r="AL10" s="14">
        <v>0.684</v>
      </c>
      <c r="AM10" s="7">
        <v>51</v>
      </c>
      <c r="AN10" s="15" t="s">
        <v>149</v>
      </c>
      <c r="AO10" s="15" t="s">
        <v>150</v>
      </c>
      <c r="AP10" s="7" t="s">
        <v>97</v>
      </c>
      <c r="AQ10" s="7">
        <v>0.264671</v>
      </c>
      <c r="AR10" s="7">
        <v>10</v>
      </c>
      <c r="AS10" s="7">
        <v>0.160765</v>
      </c>
      <c r="AT10" s="7">
        <v>0.407154</v>
      </c>
      <c r="AU10" s="7">
        <v>10</v>
      </c>
      <c r="AV10" s="7">
        <v>0.216412</v>
      </c>
      <c r="AW10" s="7">
        <v>0.717036</v>
      </c>
      <c r="AX10" s="7">
        <v>25</v>
      </c>
      <c r="AY10" s="7">
        <v>0.146374</v>
      </c>
      <c r="AZ10" s="8" t="s">
        <v>155</v>
      </c>
      <c r="BA10" s="1"/>
      <c r="BB10" s="7"/>
      <c r="BC10" s="9" t="s">
        <v>153</v>
      </c>
      <c r="BD10" s="9" t="s">
        <v>126</v>
      </c>
      <c r="BE10" s="10" t="str">
        <f t="shared" si="1"/>
        <v>tropic</v>
      </c>
      <c r="BF10" s="11" t="s">
        <v>594</v>
      </c>
    </row>
    <row r="11" ht="28.5" spans="1:58">
      <c r="A11">
        <v>18</v>
      </c>
      <c r="B11" t="s">
        <v>140</v>
      </c>
      <c r="C11" t="s">
        <v>143</v>
      </c>
      <c r="D11">
        <v>2025</v>
      </c>
      <c r="E11" s="12" t="s">
        <v>144</v>
      </c>
      <c r="F11" t="s">
        <v>145</v>
      </c>
      <c r="G11">
        <v>-23.421</v>
      </c>
      <c r="H11">
        <v>-51.9331</v>
      </c>
      <c r="I11">
        <v>14</v>
      </c>
      <c r="J11" t="s">
        <v>89</v>
      </c>
      <c r="K11" t="s">
        <v>70</v>
      </c>
      <c r="L11" t="s">
        <v>146</v>
      </c>
      <c r="M11" t="s">
        <v>147</v>
      </c>
      <c r="N11" t="s">
        <v>72</v>
      </c>
      <c r="O11" t="s">
        <v>147</v>
      </c>
      <c r="P11" t="s">
        <v>148</v>
      </c>
      <c r="Q11" t="s">
        <v>74</v>
      </c>
      <c r="R11" t="s">
        <v>75</v>
      </c>
      <c r="S11" s="1" t="s">
        <v>117</v>
      </c>
      <c r="T11" s="1" t="s">
        <v>117</v>
      </c>
      <c r="U11" s="1" t="s">
        <v>117</v>
      </c>
      <c r="V11" s="1" t="s">
        <v>118</v>
      </c>
      <c r="W11" s="13">
        <v>19</v>
      </c>
      <c r="X11" s="13" t="s">
        <v>79</v>
      </c>
      <c r="Y11" s="13" t="s">
        <v>80</v>
      </c>
      <c r="Z11" s="3">
        <v>8.09</v>
      </c>
      <c r="AA11" s="3">
        <v>5</v>
      </c>
      <c r="AB11" s="3">
        <v>4.262</v>
      </c>
      <c r="AC11" s="3">
        <v>3.377</v>
      </c>
      <c r="AD11" s="3">
        <v>5</v>
      </c>
      <c r="AE11" s="3">
        <v>1.06</v>
      </c>
      <c r="AF11" s="5" t="s">
        <v>81</v>
      </c>
      <c r="AG11" s="14">
        <v>1.791</v>
      </c>
      <c r="AH11" s="14">
        <v>5</v>
      </c>
      <c r="AI11" s="14">
        <v>0.313</v>
      </c>
      <c r="AJ11" s="14">
        <v>0.606</v>
      </c>
      <c r="AK11" s="14">
        <v>5</v>
      </c>
      <c r="AL11" s="14">
        <v>0.145</v>
      </c>
      <c r="AM11" s="7">
        <v>52</v>
      </c>
      <c r="AN11" s="15" t="s">
        <v>149</v>
      </c>
      <c r="AO11" s="15" t="s">
        <v>150</v>
      </c>
      <c r="AP11" s="7" t="s">
        <v>97</v>
      </c>
      <c r="AQ11" s="7">
        <v>0.183123</v>
      </c>
      <c r="AR11" s="7">
        <v>10</v>
      </c>
      <c r="AS11" s="7">
        <v>0.101345</v>
      </c>
      <c r="AT11" s="7">
        <v>0.25137</v>
      </c>
      <c r="AU11" s="7">
        <v>10</v>
      </c>
      <c r="AV11" s="7">
        <v>0.11517</v>
      </c>
      <c r="AW11" s="7">
        <v>0.735415</v>
      </c>
      <c r="AX11" s="7">
        <v>25</v>
      </c>
      <c r="AY11" s="7">
        <v>0.137</v>
      </c>
      <c r="AZ11" s="8" t="s">
        <v>157</v>
      </c>
      <c r="BA11" s="1"/>
      <c r="BB11" s="7"/>
      <c r="BC11" s="9" t="s">
        <v>153</v>
      </c>
      <c r="BD11" s="9" t="s">
        <v>126</v>
      </c>
      <c r="BE11" s="10" t="str">
        <f t="shared" si="1"/>
        <v>tropic</v>
      </c>
      <c r="BF11" s="11" t="s">
        <v>594</v>
      </c>
    </row>
    <row r="12" ht="57" spans="1:58">
      <c r="A12">
        <v>19</v>
      </c>
      <c r="B12" t="s">
        <v>158</v>
      </c>
      <c r="C12" t="s">
        <v>161</v>
      </c>
      <c r="D12">
        <v>2025</v>
      </c>
      <c r="E12" s="12" t="s">
        <v>162</v>
      </c>
      <c r="F12" t="s">
        <v>68</v>
      </c>
      <c r="G12">
        <v>23.1291</v>
      </c>
      <c r="H12">
        <v>113.2644</v>
      </c>
      <c r="I12">
        <v>11</v>
      </c>
      <c r="J12" t="s">
        <v>111</v>
      </c>
      <c r="K12" t="s">
        <v>70</v>
      </c>
      <c r="L12" t="s">
        <v>71</v>
      </c>
      <c r="M12" t="s">
        <v>72</v>
      </c>
      <c r="N12" t="s">
        <v>72</v>
      </c>
      <c r="O12" t="s">
        <v>72</v>
      </c>
      <c r="P12" t="s">
        <v>73</v>
      </c>
      <c r="Q12" t="s">
        <v>74</v>
      </c>
      <c r="R12" t="s">
        <v>90</v>
      </c>
      <c r="S12" s="1" t="s">
        <v>163</v>
      </c>
      <c r="T12" s="1" t="s">
        <v>92</v>
      </c>
      <c r="U12" s="1" t="s">
        <v>92</v>
      </c>
      <c r="V12" s="1" t="s">
        <v>92</v>
      </c>
      <c r="W12" s="13">
        <v>57</v>
      </c>
      <c r="X12" s="13" t="s">
        <v>119</v>
      </c>
      <c r="Y12" s="13" t="s">
        <v>80</v>
      </c>
      <c r="Z12" s="3">
        <v>2163.636</v>
      </c>
      <c r="AA12" s="3">
        <v>4</v>
      </c>
      <c r="AB12" s="3">
        <v>815.75</v>
      </c>
      <c r="AC12" s="4">
        <v>471</v>
      </c>
      <c r="AD12" s="3">
        <v>4</v>
      </c>
      <c r="AE12" s="3">
        <v>423.43</v>
      </c>
      <c r="AF12" s="5"/>
      <c r="AG12" s="14"/>
      <c r="AH12" s="14"/>
      <c r="AI12" s="14"/>
      <c r="AJ12" s="14"/>
      <c r="AK12" s="14"/>
      <c r="AL12" s="14"/>
      <c r="AM12" s="7"/>
      <c r="AN12" s="15"/>
      <c r="AO12" s="15"/>
      <c r="AP12" s="7"/>
      <c r="AQ12" s="7"/>
      <c r="AR12" s="7"/>
      <c r="AS12" s="7"/>
      <c r="AT12" s="7"/>
      <c r="AU12" s="7"/>
      <c r="AV12" s="7"/>
      <c r="AW12" s="7"/>
      <c r="AX12" s="7"/>
      <c r="AY12" s="7"/>
      <c r="AZ12" s="8"/>
      <c r="BA12" s="1"/>
      <c r="BB12" s="7"/>
      <c r="BC12" s="9" t="s">
        <v>125</v>
      </c>
      <c r="BD12" s="9" t="s">
        <v>126</v>
      </c>
      <c r="BE12" s="10" t="str">
        <f t="shared" si="1"/>
        <v>tropic</v>
      </c>
      <c r="BF12" s="11"/>
    </row>
    <row r="13" ht="42.75" spans="1:58">
      <c r="A13">
        <v>20</v>
      </c>
      <c r="B13" t="s">
        <v>165</v>
      </c>
      <c r="C13" t="s">
        <v>168</v>
      </c>
      <c r="D13">
        <v>2025</v>
      </c>
      <c r="E13" s="17" t="s">
        <v>169</v>
      </c>
      <c r="F13" t="s">
        <v>170</v>
      </c>
      <c r="G13">
        <v>-43</v>
      </c>
      <c r="H13">
        <v>-71</v>
      </c>
      <c r="I13">
        <v>9</v>
      </c>
      <c r="J13" t="s">
        <v>171</v>
      </c>
      <c r="K13" t="s">
        <v>70</v>
      </c>
      <c r="L13" t="s">
        <v>146</v>
      </c>
      <c r="M13" t="s">
        <v>72</v>
      </c>
      <c r="N13" t="s">
        <v>72</v>
      </c>
      <c r="O13" t="s">
        <v>72</v>
      </c>
      <c r="P13" t="s">
        <v>73</v>
      </c>
      <c r="Q13" t="s">
        <v>74</v>
      </c>
      <c r="R13" t="s">
        <v>75</v>
      </c>
      <c r="S13" s="1" t="s">
        <v>172</v>
      </c>
      <c r="T13" s="1" t="s">
        <v>172</v>
      </c>
      <c r="U13" s="1" t="s">
        <v>172</v>
      </c>
      <c r="V13" s="1" t="s">
        <v>173</v>
      </c>
      <c r="W13" s="13">
        <v>132</v>
      </c>
      <c r="X13" s="13" t="s">
        <v>174</v>
      </c>
      <c r="Y13" s="13" t="s">
        <v>94</v>
      </c>
      <c r="Z13" s="3">
        <v>19.4</v>
      </c>
      <c r="AA13" s="3">
        <v>8</v>
      </c>
      <c r="AB13" s="3">
        <v>4.06</v>
      </c>
      <c r="AC13" s="4">
        <v>17.6</v>
      </c>
      <c r="AD13" s="3">
        <v>9</v>
      </c>
      <c r="AE13" s="3">
        <v>2.91</v>
      </c>
      <c r="AF13" s="5" t="s">
        <v>81</v>
      </c>
      <c r="AG13" s="14">
        <v>2.2</v>
      </c>
      <c r="AH13" s="14">
        <v>8</v>
      </c>
      <c r="AI13" s="14">
        <v>0.3344</v>
      </c>
      <c r="AJ13" s="14">
        <v>1.8</v>
      </c>
      <c r="AK13" s="14">
        <v>9</v>
      </c>
      <c r="AL13" s="14">
        <v>0.4925</v>
      </c>
      <c r="AM13" s="7"/>
      <c r="AN13" s="15"/>
      <c r="AO13" s="15"/>
      <c r="AP13" s="7"/>
      <c r="AQ13" s="7"/>
      <c r="AR13" s="7"/>
      <c r="AS13" s="7"/>
      <c r="AT13" s="7"/>
      <c r="AU13" s="7"/>
      <c r="AV13" s="7"/>
      <c r="AW13" s="7"/>
      <c r="AX13" s="7"/>
      <c r="AY13" s="7"/>
      <c r="AZ13" s="8"/>
      <c r="BA13" s="1"/>
      <c r="BB13" s="7"/>
      <c r="BC13" s="9" t="s">
        <v>82</v>
      </c>
      <c r="BD13" s="9" t="s">
        <v>82</v>
      </c>
      <c r="BE13" s="10" t="str">
        <f t="shared" si="1"/>
        <v>temperate</v>
      </c>
      <c r="BF13" s="11"/>
    </row>
    <row r="14" ht="156.75" spans="1:58">
      <c r="A14">
        <v>21</v>
      </c>
      <c r="B14" t="s">
        <v>175</v>
      </c>
      <c r="C14" t="s">
        <v>178</v>
      </c>
      <c r="D14">
        <v>2024</v>
      </c>
      <c r="E14" s="12" t="s">
        <v>179</v>
      </c>
      <c r="F14" t="s">
        <v>180</v>
      </c>
      <c r="G14">
        <v>48.9978</v>
      </c>
      <c r="H14">
        <v>21.2399</v>
      </c>
      <c r="I14">
        <v>26</v>
      </c>
      <c r="J14" t="s">
        <v>181</v>
      </c>
      <c r="K14" t="s">
        <v>182</v>
      </c>
      <c r="L14" t="s">
        <v>183</v>
      </c>
      <c r="M14" t="s">
        <v>72</v>
      </c>
      <c r="N14" t="s">
        <v>72</v>
      </c>
      <c r="O14" t="s">
        <v>72</v>
      </c>
      <c r="P14" t="s">
        <v>73</v>
      </c>
      <c r="Q14" t="s">
        <v>74</v>
      </c>
      <c r="R14" t="s">
        <v>75</v>
      </c>
      <c r="S14" s="1" t="s">
        <v>184</v>
      </c>
      <c r="T14" s="1" t="s">
        <v>172</v>
      </c>
      <c r="U14" s="1" t="s">
        <v>172</v>
      </c>
      <c r="V14" s="1" t="s">
        <v>173</v>
      </c>
      <c r="W14" s="13">
        <v>318.4</v>
      </c>
      <c r="X14" s="13" t="s">
        <v>93</v>
      </c>
      <c r="Y14" s="13" t="s">
        <v>94</v>
      </c>
      <c r="Z14" s="3">
        <v>14.56</v>
      </c>
      <c r="AA14" s="3">
        <v>9</v>
      </c>
      <c r="AB14" s="3">
        <v>2.182</v>
      </c>
      <c r="AC14" s="4">
        <v>12.87</v>
      </c>
      <c r="AD14" s="3">
        <v>9</v>
      </c>
      <c r="AE14" s="3">
        <v>2.585</v>
      </c>
      <c r="AF14" s="5"/>
      <c r="AG14" s="14"/>
      <c r="AH14" s="14"/>
      <c r="AI14" s="14"/>
      <c r="AJ14" s="14"/>
      <c r="AK14" s="14"/>
      <c r="AL14" s="14"/>
      <c r="AM14" s="7"/>
      <c r="AN14" s="15"/>
      <c r="AO14" s="15"/>
      <c r="AP14" s="7"/>
      <c r="AQ14" s="7"/>
      <c r="AR14" s="7"/>
      <c r="AS14" s="7"/>
      <c r="AT14" s="7"/>
      <c r="AU14" s="7"/>
      <c r="AV14" s="7"/>
      <c r="AW14" s="7"/>
      <c r="AX14" s="7"/>
      <c r="AY14" s="7"/>
      <c r="AZ14" s="8"/>
      <c r="BA14" s="1" t="s">
        <v>185</v>
      </c>
      <c r="BB14" s="7"/>
      <c r="BC14" s="9" t="s">
        <v>82</v>
      </c>
      <c r="BD14" s="9" t="s">
        <v>82</v>
      </c>
      <c r="BE14" s="10" t="str">
        <f t="shared" si="1"/>
        <v>temperate</v>
      </c>
      <c r="BF14" s="11"/>
    </row>
    <row r="15" ht="28.5" spans="1:58">
      <c r="A15">
        <v>22</v>
      </c>
      <c r="B15" t="s">
        <v>186</v>
      </c>
      <c r="C15" t="s">
        <v>189</v>
      </c>
      <c r="D15">
        <v>2024</v>
      </c>
      <c r="E15" s="12" t="s">
        <v>190</v>
      </c>
      <c r="F15" t="s">
        <v>68</v>
      </c>
      <c r="G15">
        <v>30.2741</v>
      </c>
      <c r="H15">
        <v>120.1552</v>
      </c>
      <c r="I15">
        <v>14</v>
      </c>
      <c r="J15" t="s">
        <v>89</v>
      </c>
      <c r="K15" t="s">
        <v>70</v>
      </c>
      <c r="L15" t="s">
        <v>71</v>
      </c>
      <c r="M15" t="s">
        <v>72</v>
      </c>
      <c r="N15" t="s">
        <v>72</v>
      </c>
      <c r="O15" t="s">
        <v>72</v>
      </c>
      <c r="P15" t="s">
        <v>73</v>
      </c>
      <c r="Q15" t="s">
        <v>74</v>
      </c>
      <c r="R15" t="s">
        <v>191</v>
      </c>
      <c r="S15" s="1" t="s">
        <v>191</v>
      </c>
      <c r="T15" s="1" t="s">
        <v>191</v>
      </c>
      <c r="U15" s="1" t="s">
        <v>191</v>
      </c>
      <c r="V15" s="1" t="s">
        <v>191</v>
      </c>
      <c r="W15" s="13">
        <v>9.07</v>
      </c>
      <c r="X15" s="13" t="s">
        <v>192</v>
      </c>
      <c r="Y15" s="13" t="s">
        <v>80</v>
      </c>
      <c r="Z15" s="3">
        <v>5.6</v>
      </c>
      <c r="AA15" s="3">
        <v>6</v>
      </c>
      <c r="AB15" s="3">
        <v>1.14</v>
      </c>
      <c r="AC15" s="4">
        <v>4.167</v>
      </c>
      <c r="AD15" s="3">
        <v>6</v>
      </c>
      <c r="AE15" s="3">
        <v>0.753</v>
      </c>
      <c r="AF15" s="5" t="s">
        <v>81</v>
      </c>
      <c r="AG15" s="14">
        <v>1.16</v>
      </c>
      <c r="AH15" s="14">
        <v>6</v>
      </c>
      <c r="AI15" s="14">
        <v>0.268</v>
      </c>
      <c r="AJ15" s="14">
        <v>1.162</v>
      </c>
      <c r="AK15" s="14">
        <v>6</v>
      </c>
      <c r="AL15" s="14">
        <v>0.185</v>
      </c>
      <c r="AM15" s="7"/>
      <c r="AN15" s="15"/>
      <c r="AO15" s="15"/>
      <c r="AP15" s="7"/>
      <c r="AQ15" s="7"/>
      <c r="AR15" s="7"/>
      <c r="AS15" s="7"/>
      <c r="AT15" s="7"/>
      <c r="AU15" s="7"/>
      <c r="AV15" s="7"/>
      <c r="AW15" s="7"/>
      <c r="AX15" s="7"/>
      <c r="AY15" s="7"/>
      <c r="AZ15" s="8"/>
      <c r="BA15" s="1"/>
      <c r="BB15" s="7"/>
      <c r="BC15" s="9"/>
      <c r="BD15" s="9"/>
      <c r="BE15" s="10" t="s">
        <v>193</v>
      </c>
      <c r="BF15" s="11" t="s">
        <v>1027</v>
      </c>
    </row>
    <row r="16" ht="28.5" spans="1:58">
      <c r="A16">
        <v>23</v>
      </c>
      <c r="B16" t="s">
        <v>194</v>
      </c>
      <c r="C16" t="s">
        <v>197</v>
      </c>
      <c r="D16">
        <v>2024</v>
      </c>
      <c r="E16" s="12" t="s">
        <v>198</v>
      </c>
      <c r="F16" t="s">
        <v>68</v>
      </c>
      <c r="G16">
        <v>22.5429</v>
      </c>
      <c r="H16">
        <v>114.0596</v>
      </c>
      <c r="I16">
        <v>11</v>
      </c>
      <c r="J16" t="s">
        <v>111</v>
      </c>
      <c r="K16" t="s">
        <v>70</v>
      </c>
      <c r="L16" t="s">
        <v>71</v>
      </c>
      <c r="M16" t="s">
        <v>72</v>
      </c>
      <c r="N16" t="s">
        <v>72</v>
      </c>
      <c r="O16" t="s">
        <v>72</v>
      </c>
      <c r="P16" t="s">
        <v>73</v>
      </c>
      <c r="Q16" t="s">
        <v>74</v>
      </c>
      <c r="R16" t="s">
        <v>75</v>
      </c>
      <c r="S16" s="1" t="s">
        <v>117</v>
      </c>
      <c r="T16" s="1" t="s">
        <v>117</v>
      </c>
      <c r="U16" s="1" t="s">
        <v>117</v>
      </c>
      <c r="V16" s="1" t="s">
        <v>118</v>
      </c>
      <c r="W16" s="13">
        <v>70.5</v>
      </c>
      <c r="X16" s="13" t="s">
        <v>119</v>
      </c>
      <c r="Y16" s="13" t="s">
        <v>80</v>
      </c>
      <c r="Z16" s="3">
        <v>3.493</v>
      </c>
      <c r="AA16" s="3">
        <v>23</v>
      </c>
      <c r="AB16" s="3">
        <v>2.316</v>
      </c>
      <c r="AC16" s="4">
        <v>3.345</v>
      </c>
      <c r="AD16" s="3">
        <v>30</v>
      </c>
      <c r="AE16" s="3">
        <v>2.343</v>
      </c>
      <c r="AF16" s="5" t="s">
        <v>81</v>
      </c>
      <c r="AG16" s="14">
        <v>0.854</v>
      </c>
      <c r="AH16" s="14">
        <v>23</v>
      </c>
      <c r="AI16" s="14">
        <v>0.436</v>
      </c>
      <c r="AJ16" s="14">
        <v>0.619</v>
      </c>
      <c r="AK16" s="14">
        <v>30</v>
      </c>
      <c r="AL16" s="14">
        <v>0.591</v>
      </c>
      <c r="AM16" s="7"/>
      <c r="AN16" s="15"/>
      <c r="AO16" s="15"/>
      <c r="AP16" s="7"/>
      <c r="AQ16" s="7"/>
      <c r="AR16" s="7"/>
      <c r="AS16" s="7"/>
      <c r="AT16" s="7"/>
      <c r="AU16" s="7"/>
      <c r="AV16" s="7"/>
      <c r="AW16" s="7"/>
      <c r="AX16" s="7"/>
      <c r="AY16" s="7"/>
      <c r="AZ16" s="8"/>
      <c r="BA16" s="1"/>
      <c r="BB16" s="7"/>
      <c r="BC16" s="9" t="s">
        <v>125</v>
      </c>
      <c r="BD16" s="9" t="s">
        <v>126</v>
      </c>
      <c r="BE16" s="10" t="str">
        <f>IF(ABS(G16)&lt;23.5,"tropic",IF(ABS(G16)&lt;40,"subtropic",IF(ABS(G16)&lt;60,"temperate","arctic")))</f>
        <v>tropic</v>
      </c>
      <c r="BF16" s="11" t="s">
        <v>1028</v>
      </c>
    </row>
    <row r="17" ht="71.25" spans="1:58">
      <c r="A17">
        <v>25</v>
      </c>
      <c r="B17" t="s">
        <v>194</v>
      </c>
      <c r="C17" t="s">
        <v>197</v>
      </c>
      <c r="D17">
        <v>2024</v>
      </c>
      <c r="E17" s="12" t="s">
        <v>198</v>
      </c>
      <c r="F17" t="s">
        <v>68</v>
      </c>
      <c r="G17">
        <v>22.5429</v>
      </c>
      <c r="H17">
        <v>114.0596</v>
      </c>
      <c r="I17">
        <v>11</v>
      </c>
      <c r="J17" t="s">
        <v>111</v>
      </c>
      <c r="K17" t="s">
        <v>70</v>
      </c>
      <c r="L17" t="s">
        <v>71</v>
      </c>
      <c r="M17" t="s">
        <v>72</v>
      </c>
      <c r="N17" t="s">
        <v>72</v>
      </c>
      <c r="O17" t="s">
        <v>72</v>
      </c>
      <c r="P17" t="s">
        <v>73</v>
      </c>
      <c r="Q17" t="s">
        <v>74</v>
      </c>
      <c r="R17" t="s">
        <v>75</v>
      </c>
      <c r="S17" s="1" t="s">
        <v>117</v>
      </c>
      <c r="T17" s="1" t="s">
        <v>117</v>
      </c>
      <c r="U17" s="1" t="s">
        <v>117</v>
      </c>
      <c r="V17" s="1" t="s">
        <v>118</v>
      </c>
      <c r="W17" s="13">
        <v>70.5</v>
      </c>
      <c r="X17" s="13" t="s">
        <v>119</v>
      </c>
      <c r="Y17" s="13" t="s">
        <v>80</v>
      </c>
      <c r="Z17" s="3"/>
      <c r="AA17" s="3"/>
      <c r="AB17" s="3"/>
      <c r="AC17" s="4"/>
      <c r="AD17" s="3"/>
      <c r="AE17" s="3"/>
      <c r="AF17" s="5"/>
      <c r="AG17" s="14"/>
      <c r="AH17" s="14"/>
      <c r="AI17" s="14"/>
      <c r="AJ17" s="14"/>
      <c r="AK17" s="14"/>
      <c r="AL17" s="14"/>
      <c r="AM17" s="7">
        <v>50</v>
      </c>
      <c r="AN17" s="15" t="s">
        <v>199</v>
      </c>
      <c r="AO17" s="15" t="s">
        <v>200</v>
      </c>
      <c r="AP17" s="7" t="s">
        <v>122</v>
      </c>
      <c r="AQ17" s="7">
        <v>0.808042</v>
      </c>
      <c r="AR17" s="7">
        <v>406</v>
      </c>
      <c r="AS17" s="7">
        <v>0.514973</v>
      </c>
      <c r="AT17" s="7">
        <v>1.793281</v>
      </c>
      <c r="AU17" s="7">
        <v>253</v>
      </c>
      <c r="AV17" s="7">
        <v>0.920372</v>
      </c>
      <c r="AW17" s="7">
        <v>1.691024</v>
      </c>
      <c r="AX17" s="7">
        <v>667</v>
      </c>
      <c r="AY17" s="7">
        <v>1.084485</v>
      </c>
      <c r="AZ17" s="8" t="s">
        <v>123</v>
      </c>
      <c r="BA17" s="1" t="s">
        <v>202</v>
      </c>
      <c r="BB17" s="7"/>
      <c r="BC17" s="9" t="s">
        <v>125</v>
      </c>
      <c r="BD17" s="9" t="s">
        <v>126</v>
      </c>
      <c r="BE17" s="10" t="str">
        <f t="shared" ref="BE17:BE23" si="2">IF(ABS(G17)&lt;23.5,"tropic",IF(ABS(G17)&lt;40,"subtropic",IF(ABS(G17)&lt;60,"temperate","arctic")))</f>
        <v>tropic</v>
      </c>
      <c r="BF17" s="11" t="s">
        <v>1028</v>
      </c>
    </row>
    <row r="18" ht="85.5" spans="1:58">
      <c r="A18">
        <v>26</v>
      </c>
      <c r="B18" t="s">
        <v>203</v>
      </c>
      <c r="C18" t="s">
        <v>206</v>
      </c>
      <c r="D18">
        <v>2024</v>
      </c>
      <c r="E18" s="12" t="s">
        <v>207</v>
      </c>
      <c r="F18" t="s">
        <v>208</v>
      </c>
      <c r="G18">
        <v>-42.854</v>
      </c>
      <c r="H18">
        <v>-71.289</v>
      </c>
      <c r="I18">
        <v>9</v>
      </c>
      <c r="J18" t="s">
        <v>171</v>
      </c>
      <c r="K18" t="s">
        <v>70</v>
      </c>
      <c r="L18" t="s">
        <v>146</v>
      </c>
      <c r="M18" t="s">
        <v>72</v>
      </c>
      <c r="N18" t="s">
        <v>72</v>
      </c>
      <c r="O18" t="s">
        <v>72</v>
      </c>
      <c r="P18" t="s">
        <v>73</v>
      </c>
      <c r="Q18" t="s">
        <v>74</v>
      </c>
      <c r="R18" t="s">
        <v>75</v>
      </c>
      <c r="S18" s="1" t="s">
        <v>172</v>
      </c>
      <c r="T18" s="1" t="s">
        <v>172</v>
      </c>
      <c r="U18" s="1" t="s">
        <v>172</v>
      </c>
      <c r="V18" s="1" t="s">
        <v>173</v>
      </c>
      <c r="W18" s="13">
        <v>4.59</v>
      </c>
      <c r="X18" s="13" t="s">
        <v>192</v>
      </c>
      <c r="Y18" s="13" t="s">
        <v>80</v>
      </c>
      <c r="Z18" s="3">
        <v>14.481</v>
      </c>
      <c r="AA18" s="3">
        <v>3</v>
      </c>
      <c r="AB18" s="3">
        <v>1.719</v>
      </c>
      <c r="AC18" s="4">
        <v>14.427</v>
      </c>
      <c r="AD18" s="3">
        <v>3</v>
      </c>
      <c r="AE18" s="3">
        <v>2.727</v>
      </c>
      <c r="AF18" s="5"/>
      <c r="AG18" s="14"/>
      <c r="AH18" s="14"/>
      <c r="AI18" s="14"/>
      <c r="AJ18" s="14"/>
      <c r="AK18" s="14"/>
      <c r="AL18" s="14"/>
      <c r="AM18" s="7"/>
      <c r="AN18" s="15"/>
      <c r="AO18" s="15"/>
      <c r="AP18" s="7"/>
      <c r="AQ18" s="7"/>
      <c r="AR18" s="7"/>
      <c r="AS18" s="7"/>
      <c r="AT18" s="7"/>
      <c r="AU18" s="7"/>
      <c r="AV18" s="7"/>
      <c r="AW18" s="7"/>
      <c r="AX18" s="7"/>
      <c r="AY18" s="7"/>
      <c r="AZ18" s="8"/>
      <c r="BA18" s="1"/>
      <c r="BB18" s="7"/>
      <c r="BC18" s="9" t="s">
        <v>209</v>
      </c>
      <c r="BD18" s="9" t="s">
        <v>126</v>
      </c>
      <c r="BE18" s="10" t="str">
        <f t="shared" si="2"/>
        <v>temperate</v>
      </c>
      <c r="BF18" s="11"/>
    </row>
    <row r="19" ht="28.5" spans="1:58">
      <c r="A19">
        <v>27</v>
      </c>
      <c r="B19" t="s">
        <v>210</v>
      </c>
      <c r="C19" t="s">
        <v>213</v>
      </c>
      <c r="D19">
        <v>2024</v>
      </c>
      <c r="E19" s="12" t="s">
        <v>214</v>
      </c>
      <c r="F19" t="s">
        <v>215</v>
      </c>
      <c r="G19">
        <v>44.4268</v>
      </c>
      <c r="H19">
        <v>26.1025</v>
      </c>
      <c r="I19">
        <v>25</v>
      </c>
      <c r="J19" t="s">
        <v>216</v>
      </c>
      <c r="K19" t="s">
        <v>182</v>
      </c>
      <c r="L19" t="s">
        <v>183</v>
      </c>
      <c r="M19" t="s">
        <v>217</v>
      </c>
      <c r="N19" t="s">
        <v>217</v>
      </c>
      <c r="O19" t="s">
        <v>218</v>
      </c>
      <c r="P19" t="s">
        <v>219</v>
      </c>
      <c r="Q19" t="s">
        <v>74</v>
      </c>
      <c r="R19" t="s">
        <v>191</v>
      </c>
      <c r="S19" s="1" t="s">
        <v>220</v>
      </c>
      <c r="T19" s="1" t="s">
        <v>191</v>
      </c>
      <c r="U19" s="1" t="s">
        <v>191</v>
      </c>
      <c r="V19" s="1" t="s">
        <v>191</v>
      </c>
      <c r="W19" s="13">
        <v>26</v>
      </c>
      <c r="X19" s="13" t="s">
        <v>79</v>
      </c>
      <c r="Y19" s="13" t="s">
        <v>80</v>
      </c>
      <c r="Z19" s="3">
        <v>4.125</v>
      </c>
      <c r="AA19" s="3">
        <v>8</v>
      </c>
      <c r="AB19" s="3">
        <v>1.959</v>
      </c>
      <c r="AC19" s="4">
        <v>1.389</v>
      </c>
      <c r="AD19" s="3">
        <v>18</v>
      </c>
      <c r="AE19" s="3">
        <v>1.501</v>
      </c>
      <c r="AF19" s="5"/>
      <c r="AG19" s="14"/>
      <c r="AH19" s="14"/>
      <c r="AI19" s="14"/>
      <c r="AJ19" s="14"/>
      <c r="AK19" s="14"/>
      <c r="AL19" s="14"/>
      <c r="AM19" s="7"/>
      <c r="AN19" s="15"/>
      <c r="AO19" s="15"/>
      <c r="AP19" s="7"/>
      <c r="AQ19" s="7"/>
      <c r="AR19" s="7"/>
      <c r="AS19" s="7"/>
      <c r="AT19" s="7"/>
      <c r="AU19" s="7"/>
      <c r="AV19" s="7"/>
      <c r="AW19" s="7"/>
      <c r="AX19" s="7"/>
      <c r="AY19" s="7"/>
      <c r="AZ19" s="8"/>
      <c r="BA19" s="1"/>
      <c r="BB19" s="7"/>
      <c r="BC19" s="9" t="s">
        <v>82</v>
      </c>
      <c r="BD19" s="9" t="s">
        <v>82</v>
      </c>
      <c r="BE19" s="10" t="str">
        <f t="shared" si="2"/>
        <v>temperate</v>
      </c>
      <c r="BF19" s="11"/>
    </row>
    <row r="20" ht="57" spans="1:58">
      <c r="A20">
        <v>28</v>
      </c>
      <c r="B20" t="s">
        <v>221</v>
      </c>
      <c r="C20" t="s">
        <v>224</v>
      </c>
      <c r="D20">
        <v>2024</v>
      </c>
      <c r="E20" s="12" t="s">
        <v>225</v>
      </c>
      <c r="F20" t="s">
        <v>68</v>
      </c>
      <c r="G20">
        <v>40.136</v>
      </c>
      <c r="H20">
        <v>116.405</v>
      </c>
      <c r="I20">
        <v>21</v>
      </c>
      <c r="J20" t="s">
        <v>69</v>
      </c>
      <c r="K20" t="s">
        <v>70</v>
      </c>
      <c r="L20" t="s">
        <v>71</v>
      </c>
      <c r="M20" t="s">
        <v>72</v>
      </c>
      <c r="N20" t="s">
        <v>72</v>
      </c>
      <c r="O20" t="s">
        <v>72</v>
      </c>
      <c r="P20" t="s">
        <v>73</v>
      </c>
      <c r="Q20" t="s">
        <v>74</v>
      </c>
      <c r="R20" t="s">
        <v>90</v>
      </c>
      <c r="S20" s="1" t="s">
        <v>226</v>
      </c>
      <c r="T20" s="1" t="s">
        <v>227</v>
      </c>
      <c r="U20" s="1" t="s">
        <v>227</v>
      </c>
      <c r="V20" s="1" t="s">
        <v>227</v>
      </c>
      <c r="W20" s="13">
        <v>70.5</v>
      </c>
      <c r="X20" s="13" t="s">
        <v>119</v>
      </c>
      <c r="Y20" s="13" t="s">
        <v>94</v>
      </c>
      <c r="Z20" s="3">
        <v>41.139</v>
      </c>
      <c r="AA20" s="3">
        <v>6</v>
      </c>
      <c r="AB20" s="3">
        <v>15.806</v>
      </c>
      <c r="AC20" s="4">
        <v>32.044</v>
      </c>
      <c r="AD20" s="3">
        <v>7</v>
      </c>
      <c r="AE20" s="3">
        <v>14.407</v>
      </c>
      <c r="AF20" s="5" t="s">
        <v>81</v>
      </c>
      <c r="AG20" s="14">
        <v>4.705</v>
      </c>
      <c r="AH20" s="14">
        <v>6</v>
      </c>
      <c r="AI20" s="14">
        <v>0.364</v>
      </c>
      <c r="AJ20" s="14">
        <v>4.254</v>
      </c>
      <c r="AK20" s="14">
        <v>7</v>
      </c>
      <c r="AL20" s="14">
        <v>0.922</v>
      </c>
      <c r="AM20" s="7">
        <v>4</v>
      </c>
      <c r="AN20" s="15" t="s">
        <v>228</v>
      </c>
      <c r="AO20" s="15" t="s">
        <v>229</v>
      </c>
      <c r="AP20" s="7" t="s">
        <v>97</v>
      </c>
      <c r="AQ20" s="7">
        <v>0.445395</v>
      </c>
      <c r="AR20" s="7">
        <v>21</v>
      </c>
      <c r="AS20" s="7">
        <v>0.179974</v>
      </c>
      <c r="AT20" s="7">
        <v>0.431526</v>
      </c>
      <c r="AU20" s="7">
        <v>15</v>
      </c>
      <c r="AV20" s="7">
        <v>0.169223</v>
      </c>
      <c r="AW20" s="7">
        <v>0.39726</v>
      </c>
      <c r="AX20" s="7">
        <v>42</v>
      </c>
      <c r="AY20" s="7">
        <v>0.211419</v>
      </c>
      <c r="AZ20" s="8" t="s">
        <v>99</v>
      </c>
      <c r="BA20" s="1"/>
      <c r="BB20" s="7"/>
      <c r="BC20" s="9" t="s">
        <v>82</v>
      </c>
      <c r="BD20" s="9" t="s">
        <v>82</v>
      </c>
      <c r="BE20" s="10" t="str">
        <f t="shared" si="2"/>
        <v>temperate</v>
      </c>
      <c r="BF20" s="11"/>
    </row>
    <row r="21" ht="57" spans="1:58">
      <c r="A21">
        <v>29</v>
      </c>
      <c r="B21" t="s">
        <v>221</v>
      </c>
      <c r="C21" t="s">
        <v>224</v>
      </c>
      <c r="D21">
        <v>2024</v>
      </c>
      <c r="E21" s="12" t="s">
        <v>225</v>
      </c>
      <c r="F21" t="s">
        <v>68</v>
      </c>
      <c r="G21">
        <v>40.136</v>
      </c>
      <c r="H21">
        <v>116.405</v>
      </c>
      <c r="I21">
        <v>21</v>
      </c>
      <c r="J21" t="s">
        <v>69</v>
      </c>
      <c r="K21" t="s">
        <v>70</v>
      </c>
      <c r="L21" t="s">
        <v>71</v>
      </c>
      <c r="M21" t="s">
        <v>72</v>
      </c>
      <c r="N21" t="s">
        <v>72</v>
      </c>
      <c r="O21" t="s">
        <v>72</v>
      </c>
      <c r="P21" t="s">
        <v>73</v>
      </c>
      <c r="Q21" t="s">
        <v>74</v>
      </c>
      <c r="R21" t="s">
        <v>90</v>
      </c>
      <c r="S21" s="1" t="s">
        <v>230</v>
      </c>
      <c r="T21" s="1" t="s">
        <v>92</v>
      </c>
      <c r="U21" s="1" t="s">
        <v>92</v>
      </c>
      <c r="V21" s="1" t="s">
        <v>92</v>
      </c>
      <c r="W21" s="13">
        <v>70.5</v>
      </c>
      <c r="X21" s="13" t="s">
        <v>119</v>
      </c>
      <c r="Y21" s="13" t="s">
        <v>94</v>
      </c>
      <c r="Z21" s="3">
        <v>23.617</v>
      </c>
      <c r="AA21" s="3">
        <v>6</v>
      </c>
      <c r="AB21" s="3">
        <v>16.853</v>
      </c>
      <c r="AC21" s="4">
        <v>38.657</v>
      </c>
      <c r="AD21" s="3">
        <v>7</v>
      </c>
      <c r="AE21" s="3">
        <v>12.653</v>
      </c>
      <c r="AF21" s="5" t="s">
        <v>81</v>
      </c>
      <c r="AG21" s="14">
        <v>3.658</v>
      </c>
      <c r="AH21" s="14">
        <v>6</v>
      </c>
      <c r="AI21" s="14">
        <v>0.827</v>
      </c>
      <c r="AJ21" s="14">
        <v>4.562</v>
      </c>
      <c r="AK21" s="14">
        <v>7</v>
      </c>
      <c r="AL21" s="14">
        <v>0.529</v>
      </c>
      <c r="AM21" s="7">
        <v>5</v>
      </c>
      <c r="AN21" s="15" t="s">
        <v>228</v>
      </c>
      <c r="AO21" s="15" t="s">
        <v>229</v>
      </c>
      <c r="AP21" s="7" t="s">
        <v>97</v>
      </c>
      <c r="AQ21" s="7">
        <v>0.331737</v>
      </c>
      <c r="AR21" s="7">
        <v>21</v>
      </c>
      <c r="AS21" s="7">
        <v>0.156891</v>
      </c>
      <c r="AT21" s="7">
        <v>0.33618</v>
      </c>
      <c r="AU21" s="7">
        <v>15</v>
      </c>
      <c r="AV21" s="7">
        <v>0.219613</v>
      </c>
      <c r="AW21" s="7">
        <v>0.431494</v>
      </c>
      <c r="AX21" s="7">
        <v>42</v>
      </c>
      <c r="AY21" s="7">
        <v>0.178545</v>
      </c>
      <c r="AZ21" s="8" t="s">
        <v>99</v>
      </c>
      <c r="BB21" s="7"/>
      <c r="BC21" s="9" t="s">
        <v>82</v>
      </c>
      <c r="BD21" s="9" t="s">
        <v>82</v>
      </c>
      <c r="BE21" s="10" t="str">
        <f t="shared" si="2"/>
        <v>temperate</v>
      </c>
      <c r="BF21" s="11"/>
    </row>
    <row r="22" ht="28.5" spans="1:58">
      <c r="A22">
        <v>30</v>
      </c>
      <c r="B22" t="s">
        <v>221</v>
      </c>
      <c r="C22" t="s">
        <v>224</v>
      </c>
      <c r="D22">
        <v>2024</v>
      </c>
      <c r="E22" s="12" t="s">
        <v>225</v>
      </c>
      <c r="F22" t="s">
        <v>68</v>
      </c>
      <c r="G22">
        <v>40.136</v>
      </c>
      <c r="H22">
        <v>116.405</v>
      </c>
      <c r="I22">
        <v>21</v>
      </c>
      <c r="J22" t="s">
        <v>69</v>
      </c>
      <c r="K22" t="s">
        <v>70</v>
      </c>
      <c r="L22" t="s">
        <v>71</v>
      </c>
      <c r="M22" t="s">
        <v>72</v>
      </c>
      <c r="N22" t="s">
        <v>72</v>
      </c>
      <c r="O22" t="s">
        <v>72</v>
      </c>
      <c r="P22" t="s">
        <v>73</v>
      </c>
      <c r="Q22" t="s">
        <v>74</v>
      </c>
      <c r="R22" t="s">
        <v>90</v>
      </c>
      <c r="S22" s="1" t="s">
        <v>231</v>
      </c>
      <c r="T22" s="1" t="s">
        <v>92</v>
      </c>
      <c r="U22" s="1" t="s">
        <v>92</v>
      </c>
      <c r="V22" s="1" t="s">
        <v>92</v>
      </c>
      <c r="W22" s="13">
        <v>70.5</v>
      </c>
      <c r="X22" s="13" t="s">
        <v>119</v>
      </c>
      <c r="Y22" s="13" t="s">
        <v>94</v>
      </c>
      <c r="Z22" s="3">
        <v>107.548</v>
      </c>
      <c r="AA22" s="3">
        <v>6</v>
      </c>
      <c r="AB22" s="3">
        <v>26.955</v>
      </c>
      <c r="AC22" s="4">
        <v>108.783</v>
      </c>
      <c r="AD22" s="3">
        <v>7</v>
      </c>
      <c r="AE22" s="3">
        <v>24.394</v>
      </c>
      <c r="AF22" s="5" t="s">
        <v>81</v>
      </c>
      <c r="AG22" s="14">
        <v>5.307</v>
      </c>
      <c r="AH22" s="14">
        <v>6</v>
      </c>
      <c r="AI22" s="14">
        <v>0.266</v>
      </c>
      <c r="AJ22" s="14">
        <v>5.252</v>
      </c>
      <c r="AK22" s="14">
        <v>7</v>
      </c>
      <c r="AL22" s="14">
        <v>0.271</v>
      </c>
      <c r="AM22" s="7">
        <v>6</v>
      </c>
      <c r="AN22" s="15" t="s">
        <v>228</v>
      </c>
      <c r="AO22" s="15" t="s">
        <v>229</v>
      </c>
      <c r="AP22" s="7" t="s">
        <v>97</v>
      </c>
      <c r="AQ22" s="7">
        <v>0.190858</v>
      </c>
      <c r="AR22" s="7">
        <v>21</v>
      </c>
      <c r="AS22" s="7">
        <v>0.085601</v>
      </c>
      <c r="AT22" s="7">
        <v>0.465366</v>
      </c>
      <c r="AU22" s="7">
        <v>15</v>
      </c>
      <c r="AV22" s="7">
        <v>0.239589</v>
      </c>
      <c r="AW22" s="7">
        <v>0.50045</v>
      </c>
      <c r="AX22" s="7">
        <v>42</v>
      </c>
      <c r="AY22" s="7">
        <v>0.180727</v>
      </c>
      <c r="AZ22" s="8" t="s">
        <v>99</v>
      </c>
      <c r="BB22" s="7"/>
      <c r="BC22" s="9" t="s">
        <v>82</v>
      </c>
      <c r="BD22" s="9" t="s">
        <v>82</v>
      </c>
      <c r="BE22" s="10" t="str">
        <f t="shared" si="2"/>
        <v>temperate</v>
      </c>
      <c r="BF22" s="11"/>
    </row>
    <row r="23" ht="42.75" spans="1:58">
      <c r="A23">
        <v>34</v>
      </c>
      <c r="B23" t="s">
        <v>232</v>
      </c>
      <c r="C23" t="s">
        <v>235</v>
      </c>
      <c r="D23">
        <v>2024</v>
      </c>
      <c r="E23" s="12" t="s">
        <v>236</v>
      </c>
      <c r="F23" t="s">
        <v>237</v>
      </c>
      <c r="G23">
        <v>51.7593</v>
      </c>
      <c r="H23">
        <v>19.4559</v>
      </c>
      <c r="I23">
        <v>26</v>
      </c>
      <c r="J23" t="s">
        <v>181</v>
      </c>
      <c r="K23" t="s">
        <v>182</v>
      </c>
      <c r="L23" t="s">
        <v>183</v>
      </c>
      <c r="M23" t="s">
        <v>72</v>
      </c>
      <c r="N23" t="s">
        <v>72</v>
      </c>
      <c r="O23" t="s">
        <v>72</v>
      </c>
      <c r="P23" t="s">
        <v>73</v>
      </c>
      <c r="Q23" t="s">
        <v>74</v>
      </c>
      <c r="R23" t="s">
        <v>90</v>
      </c>
      <c r="S23" s="1" t="s">
        <v>238</v>
      </c>
      <c r="T23" s="1" t="s">
        <v>240</v>
      </c>
      <c r="U23" s="1" t="s">
        <v>241</v>
      </c>
      <c r="V23" s="1" t="s">
        <v>241</v>
      </c>
      <c r="W23" s="13">
        <v>29.5</v>
      </c>
      <c r="X23" s="13" t="s">
        <v>79</v>
      </c>
      <c r="Y23" s="13" t="s">
        <v>80</v>
      </c>
      <c r="Z23" s="3">
        <v>45.417</v>
      </c>
      <c r="AA23" s="3">
        <v>12</v>
      </c>
      <c r="AB23" s="3">
        <v>11.389</v>
      </c>
      <c r="AC23" s="4">
        <v>37</v>
      </c>
      <c r="AD23" s="3">
        <v>17</v>
      </c>
      <c r="AE23" s="3">
        <v>13.426</v>
      </c>
      <c r="AF23" s="5" t="s">
        <v>81</v>
      </c>
      <c r="AG23" s="6">
        <v>3.244</v>
      </c>
      <c r="AH23" s="6">
        <v>12</v>
      </c>
      <c r="AI23" s="6">
        <v>0.435</v>
      </c>
      <c r="AJ23" s="6">
        <v>2.611</v>
      </c>
      <c r="AK23" s="6">
        <v>17</v>
      </c>
      <c r="AL23" s="6">
        <v>0.438</v>
      </c>
      <c r="AM23" s="7"/>
      <c r="AN23" s="15"/>
      <c r="AO23" s="15"/>
      <c r="AP23" s="7"/>
      <c r="AQ23" s="7"/>
      <c r="AR23" s="7"/>
      <c r="AS23" s="7"/>
      <c r="AT23" s="7"/>
      <c r="AU23" s="7"/>
      <c r="AV23" s="7"/>
      <c r="AW23" s="7"/>
      <c r="AX23" s="7"/>
      <c r="AY23" s="7"/>
      <c r="AZ23" s="8"/>
      <c r="BA23" s="1"/>
      <c r="BB23" s="7"/>
      <c r="BC23" s="9" t="s">
        <v>82</v>
      </c>
      <c r="BD23" s="9" t="s">
        <v>82</v>
      </c>
      <c r="BE23" s="10" t="str">
        <f t="shared" si="2"/>
        <v>temperate</v>
      </c>
      <c r="BF23" s="11"/>
    </row>
    <row r="24" spans="1:58">
      <c r="A24">
        <v>35</v>
      </c>
      <c r="B24" t="s">
        <v>242</v>
      </c>
      <c r="C24" t="s">
        <v>245</v>
      </c>
      <c r="D24">
        <v>2023</v>
      </c>
      <c r="E24" s="12" t="s">
        <v>246</v>
      </c>
      <c r="F24" t="s">
        <v>68</v>
      </c>
      <c r="G24">
        <v>24.8797</v>
      </c>
      <c r="H24">
        <v>102.8332</v>
      </c>
      <c r="I24">
        <v>12</v>
      </c>
      <c r="J24" t="s">
        <v>247</v>
      </c>
      <c r="K24" t="s">
        <v>70</v>
      </c>
      <c r="L24" t="s">
        <v>71</v>
      </c>
      <c r="M24" t="s">
        <v>72</v>
      </c>
      <c r="N24" t="s">
        <v>72</v>
      </c>
      <c r="O24" t="s">
        <v>72</v>
      </c>
      <c r="P24" t="s">
        <v>73</v>
      </c>
      <c r="Q24" t="s">
        <v>74</v>
      </c>
      <c r="R24" t="s">
        <v>75</v>
      </c>
      <c r="S24" s="1" t="s">
        <v>76</v>
      </c>
      <c r="T24" s="1" t="s">
        <v>76</v>
      </c>
      <c r="U24" s="1" t="s">
        <v>76</v>
      </c>
      <c r="V24" s="1" t="s">
        <v>78</v>
      </c>
      <c r="W24" s="13">
        <v>26</v>
      </c>
      <c r="X24" s="13" t="s">
        <v>79</v>
      </c>
      <c r="Y24" s="13" t="s">
        <v>80</v>
      </c>
      <c r="Z24" s="3">
        <v>12.633</v>
      </c>
      <c r="AA24" s="3">
        <v>13</v>
      </c>
      <c r="AB24" s="3">
        <v>4.149</v>
      </c>
      <c r="AC24" s="4">
        <v>9.561</v>
      </c>
      <c r="AD24" s="3">
        <v>7</v>
      </c>
      <c r="AE24" s="3">
        <v>1.608</v>
      </c>
      <c r="AF24" s="5"/>
      <c r="AG24" s="6"/>
      <c r="AH24" s="6"/>
      <c r="AI24" s="6"/>
      <c r="AJ24" s="6"/>
      <c r="AK24" s="6"/>
      <c r="AL24" s="6"/>
      <c r="AM24" s="7"/>
      <c r="AN24" s="15"/>
      <c r="AO24" s="15"/>
      <c r="AP24" s="7"/>
      <c r="AQ24" s="7"/>
      <c r="AR24" s="7"/>
      <c r="AS24" s="7"/>
      <c r="AT24" s="7"/>
      <c r="AU24" s="7"/>
      <c r="AV24" s="7"/>
      <c r="AW24" s="7"/>
      <c r="AX24" s="7"/>
      <c r="AY24" s="7"/>
      <c r="AZ24" s="8" t="s">
        <v>248</v>
      </c>
      <c r="BA24" s="1"/>
      <c r="BB24" s="7"/>
      <c r="BC24" s="9"/>
      <c r="BD24" s="9"/>
      <c r="BE24" s="10"/>
      <c r="BF24" s="11"/>
    </row>
    <row r="25" ht="28.5" spans="1:58">
      <c r="A25">
        <v>37</v>
      </c>
      <c r="B25" t="s">
        <v>250</v>
      </c>
      <c r="C25" t="s">
        <v>253</v>
      </c>
      <c r="D25">
        <v>2023</v>
      </c>
      <c r="E25" s="12" t="s">
        <v>254</v>
      </c>
      <c r="F25" t="s">
        <v>255</v>
      </c>
      <c r="G25">
        <v>18.0119</v>
      </c>
      <c r="H25">
        <v>-92.932</v>
      </c>
      <c r="I25">
        <v>2</v>
      </c>
      <c r="J25" t="s">
        <v>256</v>
      </c>
      <c r="K25" t="s">
        <v>70</v>
      </c>
      <c r="L25" t="s">
        <v>146</v>
      </c>
      <c r="M25" t="s">
        <v>257</v>
      </c>
      <c r="N25" t="s">
        <v>113</v>
      </c>
      <c r="O25" t="s">
        <v>257</v>
      </c>
      <c r="P25" t="s">
        <v>258</v>
      </c>
      <c r="Q25" t="s">
        <v>116</v>
      </c>
      <c r="R25" t="s">
        <v>75</v>
      </c>
      <c r="S25" s="1" t="s">
        <v>76</v>
      </c>
      <c r="T25" s="1" t="s">
        <v>76</v>
      </c>
      <c r="U25" s="1" t="s">
        <v>76</v>
      </c>
      <c r="V25" s="1" t="s">
        <v>78</v>
      </c>
      <c r="W25" s="13">
        <v>2.3</v>
      </c>
      <c r="X25" s="13" t="s">
        <v>192</v>
      </c>
      <c r="Y25" s="13" t="s">
        <v>80</v>
      </c>
      <c r="Z25" s="3"/>
      <c r="AA25" s="3"/>
      <c r="AB25" s="3"/>
      <c r="AC25" s="4"/>
      <c r="AD25" s="3"/>
      <c r="AE25" s="3"/>
      <c r="AF25" s="5" t="s">
        <v>81</v>
      </c>
      <c r="AG25" s="6">
        <v>1.95</v>
      </c>
      <c r="AH25" s="6">
        <v>4</v>
      </c>
      <c r="AI25" s="6">
        <v>0.403</v>
      </c>
      <c r="AJ25" s="6">
        <v>1.81</v>
      </c>
      <c r="AK25" s="6">
        <v>8</v>
      </c>
      <c r="AL25" s="6">
        <v>0.291</v>
      </c>
      <c r="AM25" s="7"/>
      <c r="AN25" s="15"/>
      <c r="AO25" s="15"/>
      <c r="AP25" s="7"/>
      <c r="AQ25" s="7"/>
      <c r="AR25" s="7"/>
      <c r="AS25" s="7"/>
      <c r="AT25" s="7"/>
      <c r="AU25" s="7"/>
      <c r="AV25" s="7"/>
      <c r="AW25" s="7"/>
      <c r="AX25" s="7"/>
      <c r="AY25" s="7"/>
      <c r="AZ25" s="8"/>
      <c r="BA25" s="1"/>
      <c r="BB25" s="7"/>
      <c r="BC25" s="9" t="s">
        <v>259</v>
      </c>
      <c r="BD25" s="9" t="s">
        <v>126</v>
      </c>
      <c r="BE25" s="10" t="str">
        <f t="shared" ref="BE25:BE60" si="3">IF(ABS(G25)&lt;23.5,"tropic",IF(ABS(G25)&lt;40,"subtropic",IF(ABS(G25)&lt;60,"temperate","arctic")))</f>
        <v>tropic</v>
      </c>
      <c r="BF25" s="11"/>
    </row>
    <row r="26" ht="42.75" spans="1:58">
      <c r="A26">
        <v>38</v>
      </c>
      <c r="B26" t="s">
        <v>260</v>
      </c>
      <c r="C26" t="s">
        <v>263</v>
      </c>
      <c r="D26">
        <v>2023</v>
      </c>
      <c r="E26" s="12" t="s">
        <v>264</v>
      </c>
      <c r="F26" t="s">
        <v>208</v>
      </c>
      <c r="G26">
        <v>-54.8</v>
      </c>
      <c r="H26">
        <v>-68.3167</v>
      </c>
      <c r="I26">
        <v>29</v>
      </c>
      <c r="J26" t="s">
        <v>265</v>
      </c>
      <c r="K26" t="s">
        <v>70</v>
      </c>
      <c r="L26" t="s">
        <v>146</v>
      </c>
      <c r="M26" t="s">
        <v>266</v>
      </c>
      <c r="N26" t="s">
        <v>267</v>
      </c>
      <c r="O26" t="s">
        <v>268</v>
      </c>
      <c r="P26" t="s">
        <v>269</v>
      </c>
      <c r="Q26" t="s">
        <v>74</v>
      </c>
      <c r="R26" t="s">
        <v>75</v>
      </c>
      <c r="S26" s="1" t="s">
        <v>270</v>
      </c>
      <c r="T26" s="1" t="s">
        <v>172</v>
      </c>
      <c r="U26" s="1" t="s">
        <v>172</v>
      </c>
      <c r="V26" s="1" t="s">
        <v>173</v>
      </c>
      <c r="W26" s="13">
        <v>3.5</v>
      </c>
      <c r="X26" s="13" t="s">
        <v>192</v>
      </c>
      <c r="Y26" s="13" t="s">
        <v>80</v>
      </c>
      <c r="Z26" s="3">
        <v>10.53</v>
      </c>
      <c r="AA26" s="3">
        <v>4</v>
      </c>
      <c r="AB26" s="3">
        <v>1.914</v>
      </c>
      <c r="AC26" s="4">
        <v>9.54</v>
      </c>
      <c r="AD26" s="3">
        <v>4</v>
      </c>
      <c r="AE26" s="3">
        <v>1.872</v>
      </c>
      <c r="AF26" s="5" t="s">
        <v>81</v>
      </c>
      <c r="AG26" s="14">
        <v>1.57</v>
      </c>
      <c r="AH26" s="14">
        <v>4</v>
      </c>
      <c r="AI26" s="14">
        <v>0.3</v>
      </c>
      <c r="AJ26" s="14">
        <v>1.601</v>
      </c>
      <c r="AK26" s="14">
        <v>4</v>
      </c>
      <c r="AL26" s="14">
        <v>0.268</v>
      </c>
      <c r="AM26" s="7"/>
      <c r="AN26" s="15"/>
      <c r="AO26" s="15"/>
      <c r="AP26" s="7"/>
      <c r="AQ26" s="7"/>
      <c r="AR26" s="7"/>
      <c r="AS26" s="7"/>
      <c r="AT26" s="7"/>
      <c r="AU26" s="7"/>
      <c r="AV26" s="7"/>
      <c r="AW26" s="7"/>
      <c r="AX26" s="7"/>
      <c r="AY26" s="7"/>
      <c r="AZ26" s="8"/>
      <c r="BA26" s="1"/>
      <c r="BB26" s="7"/>
      <c r="BC26" s="9" t="s">
        <v>82</v>
      </c>
      <c r="BD26" s="9" t="s">
        <v>82</v>
      </c>
      <c r="BE26" s="10" t="str">
        <f t="shared" si="3"/>
        <v>temperate</v>
      </c>
      <c r="BF26" s="11"/>
    </row>
    <row r="27" ht="99.75" spans="1:58">
      <c r="A27">
        <v>39</v>
      </c>
      <c r="B27" t="s">
        <v>271</v>
      </c>
      <c r="C27" t="s">
        <v>274</v>
      </c>
      <c r="D27">
        <v>2023</v>
      </c>
      <c r="E27" s="12" t="s">
        <v>275</v>
      </c>
      <c r="F27" t="s">
        <v>276</v>
      </c>
      <c r="G27">
        <v>43.0722</v>
      </c>
      <c r="H27">
        <v>-89.4008</v>
      </c>
      <c r="I27">
        <v>25</v>
      </c>
      <c r="J27" t="s">
        <v>216</v>
      </c>
      <c r="K27" t="s">
        <v>182</v>
      </c>
      <c r="L27" t="s">
        <v>183</v>
      </c>
      <c r="M27" t="s">
        <v>277</v>
      </c>
      <c r="N27" t="s">
        <v>278</v>
      </c>
      <c r="O27" t="s">
        <v>277</v>
      </c>
      <c r="P27" t="s">
        <v>279</v>
      </c>
      <c r="Q27" t="s">
        <v>280</v>
      </c>
      <c r="R27" t="s">
        <v>75</v>
      </c>
      <c r="S27" s="1" t="s">
        <v>117</v>
      </c>
      <c r="T27" s="1" t="s">
        <v>117</v>
      </c>
      <c r="U27" s="1" t="s">
        <v>281</v>
      </c>
      <c r="V27" s="1" t="s">
        <v>282</v>
      </c>
      <c r="W27" s="13">
        <v>59</v>
      </c>
      <c r="X27" s="13" t="s">
        <v>119</v>
      </c>
      <c r="Y27" s="13" t="s">
        <v>80</v>
      </c>
      <c r="Z27" s="3">
        <v>2.227</v>
      </c>
      <c r="AA27" s="3">
        <v>22</v>
      </c>
      <c r="AB27" s="3">
        <v>1.824</v>
      </c>
      <c r="AC27" s="4">
        <v>1.706</v>
      </c>
      <c r="AD27" s="3">
        <v>17</v>
      </c>
      <c r="AE27" s="3">
        <v>1.448</v>
      </c>
      <c r="AF27" s="5"/>
      <c r="AG27" s="14"/>
      <c r="AH27" s="14"/>
      <c r="AI27" s="14"/>
      <c r="AJ27" s="14"/>
      <c r="AK27" s="14"/>
      <c r="AL27" s="14"/>
      <c r="AM27" s="7"/>
      <c r="AN27" s="15"/>
      <c r="AO27" s="15"/>
      <c r="AP27" s="7"/>
      <c r="AQ27" s="7"/>
      <c r="AR27" s="7"/>
      <c r="AS27" s="7"/>
      <c r="AT27" s="7"/>
      <c r="AU27" s="7"/>
      <c r="AV27" s="7"/>
      <c r="AW27" s="7"/>
      <c r="AX27" s="7"/>
      <c r="AY27" s="7"/>
      <c r="AZ27" s="8"/>
      <c r="BA27" s="1" t="s">
        <v>283</v>
      </c>
      <c r="BB27" s="7"/>
      <c r="BC27" s="9" t="s">
        <v>82</v>
      </c>
      <c r="BD27" s="9" t="s">
        <v>82</v>
      </c>
      <c r="BE27" s="10" t="str">
        <f t="shared" si="3"/>
        <v>temperate</v>
      </c>
      <c r="BF27" s="11" t="s">
        <v>594</v>
      </c>
    </row>
    <row r="28" ht="99.75" spans="1:58">
      <c r="A28">
        <v>40</v>
      </c>
      <c r="B28" t="s">
        <v>271</v>
      </c>
      <c r="C28" t="s">
        <v>274</v>
      </c>
      <c r="D28">
        <v>2023</v>
      </c>
      <c r="E28" s="12" t="s">
        <v>275</v>
      </c>
      <c r="F28" t="s">
        <v>276</v>
      </c>
      <c r="G28">
        <v>43.0722</v>
      </c>
      <c r="H28">
        <v>-89.4008</v>
      </c>
      <c r="I28">
        <v>25</v>
      </c>
      <c r="J28" t="s">
        <v>216</v>
      </c>
      <c r="K28" t="s">
        <v>182</v>
      </c>
      <c r="L28" t="s">
        <v>183</v>
      </c>
      <c r="M28" t="s">
        <v>277</v>
      </c>
      <c r="N28" t="s">
        <v>278</v>
      </c>
      <c r="O28" t="s">
        <v>277</v>
      </c>
      <c r="P28" t="s">
        <v>279</v>
      </c>
      <c r="Q28" t="s">
        <v>280</v>
      </c>
      <c r="R28" t="s">
        <v>75</v>
      </c>
      <c r="S28" s="1" t="s">
        <v>284</v>
      </c>
      <c r="T28" s="1" t="s">
        <v>284</v>
      </c>
      <c r="U28" s="1" t="s">
        <v>281</v>
      </c>
      <c r="V28" s="1" t="s">
        <v>282</v>
      </c>
      <c r="W28" s="13">
        <v>59</v>
      </c>
      <c r="X28" s="13" t="s">
        <v>119</v>
      </c>
      <c r="Y28" s="13" t="s">
        <v>80</v>
      </c>
      <c r="Z28" s="3">
        <v>3.864</v>
      </c>
      <c r="AA28" s="3">
        <v>22</v>
      </c>
      <c r="AB28" s="3">
        <v>1.207</v>
      </c>
      <c r="AC28" s="4">
        <v>2.588</v>
      </c>
      <c r="AD28" s="3">
        <v>17</v>
      </c>
      <c r="AE28" s="3">
        <v>1.004</v>
      </c>
      <c r="AF28" s="5"/>
      <c r="AG28" s="14"/>
      <c r="AH28" s="14"/>
      <c r="AI28" s="14"/>
      <c r="AJ28" s="14"/>
      <c r="AK28" s="14"/>
      <c r="AL28" s="14"/>
      <c r="AM28" s="7"/>
      <c r="AN28" s="15"/>
      <c r="AO28" s="15"/>
      <c r="AP28" s="7"/>
      <c r="AQ28" s="7"/>
      <c r="AR28" s="7"/>
      <c r="AS28" s="7"/>
      <c r="AT28" s="7"/>
      <c r="AU28" s="7"/>
      <c r="AV28" s="7"/>
      <c r="AW28" s="7"/>
      <c r="AX28" s="7"/>
      <c r="AY28" s="7"/>
      <c r="AZ28" s="8"/>
      <c r="BA28" s="1" t="s">
        <v>283</v>
      </c>
      <c r="BB28" s="7"/>
      <c r="BC28" s="9" t="s">
        <v>82</v>
      </c>
      <c r="BD28" s="9" t="s">
        <v>82</v>
      </c>
      <c r="BE28" s="10" t="str">
        <f t="shared" si="3"/>
        <v>temperate</v>
      </c>
      <c r="BF28" s="11" t="s">
        <v>594</v>
      </c>
    </row>
    <row r="29" ht="99.75" spans="1:58">
      <c r="A29">
        <v>41</v>
      </c>
      <c r="B29" t="s">
        <v>271</v>
      </c>
      <c r="C29" t="s">
        <v>274</v>
      </c>
      <c r="D29">
        <v>2023</v>
      </c>
      <c r="E29" s="12" t="s">
        <v>275</v>
      </c>
      <c r="F29" t="s">
        <v>276</v>
      </c>
      <c r="G29">
        <v>43.0722</v>
      </c>
      <c r="H29">
        <v>-89.4008</v>
      </c>
      <c r="I29">
        <v>25</v>
      </c>
      <c r="J29" t="s">
        <v>216</v>
      </c>
      <c r="K29" t="s">
        <v>182</v>
      </c>
      <c r="L29" t="s">
        <v>183</v>
      </c>
      <c r="M29" t="s">
        <v>277</v>
      </c>
      <c r="N29" t="s">
        <v>278</v>
      </c>
      <c r="O29" t="s">
        <v>277</v>
      </c>
      <c r="P29" t="s">
        <v>279</v>
      </c>
      <c r="Q29" t="s">
        <v>280</v>
      </c>
      <c r="R29" t="s">
        <v>75</v>
      </c>
      <c r="S29" s="1" t="s">
        <v>285</v>
      </c>
      <c r="T29" s="1" t="s">
        <v>227</v>
      </c>
      <c r="U29" s="1" t="s">
        <v>281</v>
      </c>
      <c r="V29" s="1" t="s">
        <v>282</v>
      </c>
      <c r="W29" s="13">
        <v>59</v>
      </c>
      <c r="X29" s="13" t="s">
        <v>119</v>
      </c>
      <c r="Y29" s="13" t="s">
        <v>80</v>
      </c>
      <c r="Z29" s="3">
        <v>1.227</v>
      </c>
      <c r="AA29" s="3">
        <v>22</v>
      </c>
      <c r="AB29" s="3">
        <v>0.973</v>
      </c>
      <c r="AC29" s="4">
        <v>0.882</v>
      </c>
      <c r="AD29" s="3">
        <v>17</v>
      </c>
      <c r="AE29" s="3">
        <v>0.781</v>
      </c>
      <c r="AF29" s="5"/>
      <c r="AG29" s="14"/>
      <c r="AH29" s="14"/>
      <c r="AI29" s="14"/>
      <c r="AJ29" s="14"/>
      <c r="AK29" s="14"/>
      <c r="AL29" s="14"/>
      <c r="AM29" s="7"/>
      <c r="AN29" s="15"/>
      <c r="AO29" s="15"/>
      <c r="AP29" s="7"/>
      <c r="AQ29" s="7"/>
      <c r="AR29" s="7"/>
      <c r="AS29" s="7"/>
      <c r="AT29" s="7"/>
      <c r="AU29" s="7"/>
      <c r="AV29" s="7"/>
      <c r="AW29" s="7"/>
      <c r="AX29" s="7"/>
      <c r="AY29" s="7"/>
      <c r="AZ29" s="8"/>
      <c r="BA29" s="1" t="s">
        <v>283</v>
      </c>
      <c r="BB29" s="7"/>
      <c r="BC29" s="9" t="s">
        <v>82</v>
      </c>
      <c r="BD29" s="9" t="s">
        <v>82</v>
      </c>
      <c r="BE29" s="10" t="str">
        <f t="shared" si="3"/>
        <v>temperate</v>
      </c>
      <c r="BF29" s="11" t="s">
        <v>594</v>
      </c>
    </row>
    <row r="30" ht="99.75" spans="1:58">
      <c r="A30">
        <v>42</v>
      </c>
      <c r="B30" t="s">
        <v>271</v>
      </c>
      <c r="C30" t="s">
        <v>274</v>
      </c>
      <c r="D30">
        <v>2023</v>
      </c>
      <c r="E30" s="12" t="s">
        <v>275</v>
      </c>
      <c r="F30" t="s">
        <v>276</v>
      </c>
      <c r="G30">
        <v>43.0722</v>
      </c>
      <c r="H30">
        <v>-89.4008</v>
      </c>
      <c r="I30">
        <v>25</v>
      </c>
      <c r="J30" t="s">
        <v>216</v>
      </c>
      <c r="K30" t="s">
        <v>182</v>
      </c>
      <c r="L30" t="s">
        <v>183</v>
      </c>
      <c r="M30" t="s">
        <v>277</v>
      </c>
      <c r="N30" t="s">
        <v>278</v>
      </c>
      <c r="O30" t="s">
        <v>277</v>
      </c>
      <c r="P30" t="s">
        <v>279</v>
      </c>
      <c r="Q30" t="s">
        <v>280</v>
      </c>
      <c r="R30" t="s">
        <v>75</v>
      </c>
      <c r="S30" s="1" t="s">
        <v>172</v>
      </c>
      <c r="T30" s="1" t="s">
        <v>172</v>
      </c>
      <c r="U30" s="1" t="s">
        <v>286</v>
      </c>
      <c r="V30" s="1" t="s">
        <v>287</v>
      </c>
      <c r="W30" s="13">
        <v>59</v>
      </c>
      <c r="X30" s="13" t="s">
        <v>119</v>
      </c>
      <c r="Y30" s="13" t="s">
        <v>80</v>
      </c>
      <c r="Z30" s="3">
        <v>20.037</v>
      </c>
      <c r="AA30" s="3">
        <v>22</v>
      </c>
      <c r="AB30" s="3">
        <v>4.38</v>
      </c>
      <c r="AC30" s="4">
        <v>13.824</v>
      </c>
      <c r="AD30" s="3">
        <v>17</v>
      </c>
      <c r="AE30" s="3">
        <v>5.512</v>
      </c>
      <c r="AF30" s="5"/>
      <c r="AG30" s="14"/>
      <c r="AH30" s="14"/>
      <c r="AI30" s="14"/>
      <c r="AJ30" s="14"/>
      <c r="AK30" s="14"/>
      <c r="AL30" s="14"/>
      <c r="AM30" s="7"/>
      <c r="AN30" s="15"/>
      <c r="AO30" s="15"/>
      <c r="AP30" s="7"/>
      <c r="AQ30" s="7"/>
      <c r="AR30" s="7"/>
      <c r="AS30" s="7"/>
      <c r="AT30" s="7"/>
      <c r="AU30" s="7"/>
      <c r="AV30" s="7"/>
      <c r="AW30" s="7"/>
      <c r="AX30" s="7"/>
      <c r="AY30" s="7"/>
      <c r="AZ30" s="8"/>
      <c r="BA30" s="1" t="s">
        <v>283</v>
      </c>
      <c r="BB30" s="7"/>
      <c r="BC30" s="9" t="s">
        <v>82</v>
      </c>
      <c r="BD30" s="9" t="s">
        <v>82</v>
      </c>
      <c r="BE30" s="10" t="str">
        <f t="shared" si="3"/>
        <v>temperate</v>
      </c>
      <c r="BF30" s="11" t="s">
        <v>594</v>
      </c>
    </row>
    <row r="31" ht="99.75" spans="1:58">
      <c r="A31">
        <v>43</v>
      </c>
      <c r="B31" t="s">
        <v>271</v>
      </c>
      <c r="C31" t="s">
        <v>274</v>
      </c>
      <c r="D31">
        <v>2023</v>
      </c>
      <c r="E31" s="12" t="s">
        <v>275</v>
      </c>
      <c r="F31" t="s">
        <v>276</v>
      </c>
      <c r="G31">
        <v>43.0722</v>
      </c>
      <c r="H31">
        <v>-89.4008</v>
      </c>
      <c r="I31">
        <v>25</v>
      </c>
      <c r="J31" t="s">
        <v>216</v>
      </c>
      <c r="K31" t="s">
        <v>182</v>
      </c>
      <c r="L31" t="s">
        <v>183</v>
      </c>
      <c r="M31" t="s">
        <v>277</v>
      </c>
      <c r="N31" t="s">
        <v>278</v>
      </c>
      <c r="O31" t="s">
        <v>277</v>
      </c>
      <c r="P31" t="s">
        <v>279</v>
      </c>
      <c r="Q31" t="s">
        <v>280</v>
      </c>
      <c r="R31" t="s">
        <v>191</v>
      </c>
      <c r="S31" s="1" t="s">
        <v>191</v>
      </c>
      <c r="T31" s="1" t="s">
        <v>191</v>
      </c>
      <c r="U31" s="1" t="s">
        <v>191</v>
      </c>
      <c r="V31" s="1" t="s">
        <v>191</v>
      </c>
      <c r="W31" s="13">
        <v>59</v>
      </c>
      <c r="X31" s="13" t="s">
        <v>119</v>
      </c>
      <c r="Y31" s="13" t="s">
        <v>80</v>
      </c>
      <c r="Z31" s="3">
        <v>13.697</v>
      </c>
      <c r="AA31" s="3">
        <v>22</v>
      </c>
      <c r="AB31" s="3">
        <v>3.777</v>
      </c>
      <c r="AC31" s="4">
        <v>11.009</v>
      </c>
      <c r="AD31" s="3">
        <v>17</v>
      </c>
      <c r="AE31" s="3">
        <v>3.182</v>
      </c>
      <c r="AF31" s="5"/>
      <c r="AG31" s="14"/>
      <c r="AH31" s="14"/>
      <c r="AI31" s="14"/>
      <c r="AJ31" s="14"/>
      <c r="AK31" s="14"/>
      <c r="AL31" s="14"/>
      <c r="AM31" s="7"/>
      <c r="AN31" s="15"/>
      <c r="AO31" s="15"/>
      <c r="AP31" s="7"/>
      <c r="AQ31" s="7"/>
      <c r="AR31" s="7"/>
      <c r="AS31" s="7"/>
      <c r="AT31" s="7"/>
      <c r="AU31" s="7"/>
      <c r="AV31" s="7"/>
      <c r="AW31" s="7"/>
      <c r="AX31" s="7"/>
      <c r="AY31" s="7"/>
      <c r="AZ31" s="8"/>
      <c r="BA31" s="1" t="s">
        <v>283</v>
      </c>
      <c r="BB31" s="7"/>
      <c r="BC31" s="9" t="s">
        <v>82</v>
      </c>
      <c r="BD31" s="9" t="s">
        <v>82</v>
      </c>
      <c r="BE31" s="10" t="str">
        <f t="shared" si="3"/>
        <v>temperate</v>
      </c>
      <c r="BF31" s="11" t="s">
        <v>594</v>
      </c>
    </row>
    <row r="32" ht="42.75" spans="1:58">
      <c r="A32">
        <v>44</v>
      </c>
      <c r="B32" t="s">
        <v>288</v>
      </c>
      <c r="C32" t="s">
        <v>291</v>
      </c>
      <c r="D32">
        <v>2023</v>
      </c>
      <c r="E32" s="12" t="s">
        <v>292</v>
      </c>
      <c r="F32" t="s">
        <v>293</v>
      </c>
      <c r="G32">
        <v>-7.8754</v>
      </c>
      <c r="H32">
        <v>110.4262</v>
      </c>
      <c r="I32">
        <v>2</v>
      </c>
      <c r="J32" t="s">
        <v>256</v>
      </c>
      <c r="K32" t="s">
        <v>70</v>
      </c>
      <c r="L32" t="s">
        <v>71</v>
      </c>
      <c r="M32" t="s">
        <v>147</v>
      </c>
      <c r="N32" t="s">
        <v>72</v>
      </c>
      <c r="O32" t="s">
        <v>147</v>
      </c>
      <c r="P32" t="s">
        <v>148</v>
      </c>
      <c r="Q32" t="s">
        <v>74</v>
      </c>
      <c r="R32" t="s">
        <v>75</v>
      </c>
      <c r="S32" s="1" t="s">
        <v>172</v>
      </c>
      <c r="T32" s="1" t="s">
        <v>172</v>
      </c>
      <c r="U32" s="1" t="s">
        <v>286</v>
      </c>
      <c r="V32" s="1" t="s">
        <v>287</v>
      </c>
      <c r="W32" s="13">
        <v>31.7</v>
      </c>
      <c r="X32" s="13" t="s">
        <v>79</v>
      </c>
      <c r="Y32" s="13" t="s">
        <v>80</v>
      </c>
      <c r="Z32" s="3">
        <v>18.747</v>
      </c>
      <c r="AA32" s="3">
        <v>4</v>
      </c>
      <c r="AB32" s="3">
        <v>3.313</v>
      </c>
      <c r="AC32" s="4">
        <v>9.979</v>
      </c>
      <c r="AD32" s="3">
        <v>4</v>
      </c>
      <c r="AE32" s="3">
        <v>1.106</v>
      </c>
      <c r="AF32" s="5"/>
      <c r="AG32" s="14"/>
      <c r="AH32" s="14"/>
      <c r="AI32" s="14"/>
      <c r="AJ32" s="14"/>
      <c r="AK32" s="14"/>
      <c r="AL32" s="14"/>
      <c r="AM32" s="7">
        <v>33</v>
      </c>
      <c r="AN32" s="15" t="s">
        <v>294</v>
      </c>
      <c r="AO32" s="15" t="s">
        <v>295</v>
      </c>
      <c r="AP32" s="7" t="s">
        <v>122</v>
      </c>
      <c r="AQ32" s="7">
        <v>0.384333</v>
      </c>
      <c r="AR32" s="7">
        <v>6</v>
      </c>
      <c r="AS32" s="7">
        <v>0.204771</v>
      </c>
      <c r="AT32" s="7">
        <v>0.201705</v>
      </c>
      <c r="AU32" s="7">
        <v>6</v>
      </c>
      <c r="AV32" s="7">
        <v>0.080738</v>
      </c>
      <c r="AW32" s="7">
        <v>0.513276</v>
      </c>
      <c r="AX32" s="7">
        <v>16</v>
      </c>
      <c r="AY32" s="7">
        <v>0.236332</v>
      </c>
      <c r="AZ32" s="8"/>
      <c r="BA32" s="1" t="s">
        <v>296</v>
      </c>
      <c r="BB32" s="7"/>
      <c r="BC32" s="9" t="s">
        <v>297</v>
      </c>
      <c r="BD32" s="9" t="s">
        <v>126</v>
      </c>
      <c r="BE32" s="10" t="str">
        <f t="shared" si="3"/>
        <v>tropic</v>
      </c>
      <c r="BF32" s="11"/>
    </row>
    <row r="33" ht="42.75" spans="1:58">
      <c r="A33">
        <v>45</v>
      </c>
      <c r="B33" t="s">
        <v>298</v>
      </c>
      <c r="C33" t="s">
        <v>301</v>
      </c>
      <c r="D33">
        <v>2023</v>
      </c>
      <c r="E33" s="12" t="s">
        <v>302</v>
      </c>
      <c r="F33" t="s">
        <v>303</v>
      </c>
      <c r="G33">
        <v>44.9333</v>
      </c>
      <c r="H33">
        <v>17.825</v>
      </c>
      <c r="I33">
        <v>26</v>
      </c>
      <c r="J33" t="s">
        <v>181</v>
      </c>
      <c r="K33" t="s">
        <v>182</v>
      </c>
      <c r="L33" t="s">
        <v>183</v>
      </c>
      <c r="M33" t="s">
        <v>147</v>
      </c>
      <c r="N33" t="s">
        <v>72</v>
      </c>
      <c r="O33" t="s">
        <v>147</v>
      </c>
      <c r="P33" t="s">
        <v>148</v>
      </c>
      <c r="Q33" t="s">
        <v>74</v>
      </c>
      <c r="R33" t="s">
        <v>75</v>
      </c>
      <c r="S33" s="1" t="s">
        <v>172</v>
      </c>
      <c r="T33" s="1" t="s">
        <v>172</v>
      </c>
      <c r="U33" s="1" t="s">
        <v>172</v>
      </c>
      <c r="V33" s="1" t="s">
        <v>173</v>
      </c>
      <c r="W33" s="13">
        <v>8.3</v>
      </c>
      <c r="X33" s="13" t="s">
        <v>192</v>
      </c>
      <c r="Y33" s="13" t="s">
        <v>80</v>
      </c>
      <c r="Z33" s="3"/>
      <c r="AA33" s="3"/>
      <c r="AB33" s="3"/>
      <c r="AC33" s="4"/>
      <c r="AD33" s="3"/>
      <c r="AE33" s="3"/>
      <c r="AF33" s="5"/>
      <c r="AG33" s="14"/>
      <c r="AH33" s="14"/>
      <c r="AI33" s="14"/>
      <c r="AJ33" s="14"/>
      <c r="AK33" s="14"/>
      <c r="AL33" s="14"/>
      <c r="AM33" s="7">
        <v>8</v>
      </c>
      <c r="AN33" s="15" t="s">
        <v>304</v>
      </c>
      <c r="AO33" s="15" t="s">
        <v>305</v>
      </c>
      <c r="AP33" s="7" t="s">
        <v>122</v>
      </c>
      <c r="AQ33" s="7">
        <v>0.552568</v>
      </c>
      <c r="AR33" s="7">
        <v>435</v>
      </c>
      <c r="AS33" s="7">
        <v>0.277587</v>
      </c>
      <c r="AT33" s="7">
        <v>0.453009</v>
      </c>
      <c r="AU33" s="7">
        <v>435</v>
      </c>
      <c r="AV33" s="7">
        <v>0.222019</v>
      </c>
      <c r="AW33" s="7">
        <v>0.889762</v>
      </c>
      <c r="AX33" s="7">
        <v>900</v>
      </c>
      <c r="AY33" s="7">
        <v>0.328105</v>
      </c>
      <c r="AZ33" s="8"/>
      <c r="BA33" s="1" t="s">
        <v>306</v>
      </c>
      <c r="BB33" s="7"/>
      <c r="BC33" s="9" t="s">
        <v>82</v>
      </c>
      <c r="BD33" s="9" t="s">
        <v>82</v>
      </c>
      <c r="BE33" s="10" t="str">
        <f t="shared" si="3"/>
        <v>temperate</v>
      </c>
      <c r="BF33" s="11"/>
    </row>
    <row r="34" ht="42.75" spans="1:58">
      <c r="A34">
        <v>46</v>
      </c>
      <c r="B34" t="s">
        <v>298</v>
      </c>
      <c r="C34" t="s">
        <v>301</v>
      </c>
      <c r="D34">
        <v>2023</v>
      </c>
      <c r="E34" s="12" t="s">
        <v>302</v>
      </c>
      <c r="F34" t="s">
        <v>303</v>
      </c>
      <c r="G34">
        <v>44.9333</v>
      </c>
      <c r="H34">
        <v>17.825</v>
      </c>
      <c r="I34">
        <v>26</v>
      </c>
      <c r="J34" t="s">
        <v>181</v>
      </c>
      <c r="K34" t="s">
        <v>182</v>
      </c>
      <c r="L34" t="s">
        <v>183</v>
      </c>
      <c r="M34" t="s">
        <v>147</v>
      </c>
      <c r="N34" t="s">
        <v>72</v>
      </c>
      <c r="O34" t="s">
        <v>147</v>
      </c>
      <c r="P34" t="s">
        <v>148</v>
      </c>
      <c r="Q34" t="s">
        <v>74</v>
      </c>
      <c r="R34" t="s">
        <v>75</v>
      </c>
      <c r="S34" s="1" t="s">
        <v>172</v>
      </c>
      <c r="T34" s="1" t="s">
        <v>172</v>
      </c>
      <c r="U34" s="1" t="s">
        <v>172</v>
      </c>
      <c r="V34" s="1" t="s">
        <v>173</v>
      </c>
      <c r="W34" s="13">
        <v>1.7</v>
      </c>
      <c r="X34" s="13" t="s">
        <v>192</v>
      </c>
      <c r="Y34" s="13" t="s">
        <v>80</v>
      </c>
      <c r="Z34" s="3">
        <v>16.03</v>
      </c>
      <c r="AA34" s="3">
        <v>6</v>
      </c>
      <c r="AB34" s="3">
        <v>2.147</v>
      </c>
      <c r="AC34" s="4">
        <v>17.66</v>
      </c>
      <c r="AD34" s="3">
        <v>6</v>
      </c>
      <c r="AE34" s="3">
        <v>2.047</v>
      </c>
      <c r="AF34" s="5" t="s">
        <v>81</v>
      </c>
      <c r="AG34" s="14">
        <v>1.566</v>
      </c>
      <c r="AH34" s="14">
        <v>6</v>
      </c>
      <c r="AI34" s="14">
        <v>0.10821039</v>
      </c>
      <c r="AJ34" s="14">
        <v>1.157</v>
      </c>
      <c r="AK34" s="14">
        <v>6</v>
      </c>
      <c r="AL34" s="14">
        <v>0.285281938</v>
      </c>
      <c r="AM34" s="7"/>
      <c r="AN34" s="15"/>
      <c r="AO34" s="15"/>
      <c r="AP34" s="7"/>
      <c r="AQ34" s="7"/>
      <c r="AR34" s="7"/>
      <c r="AS34" s="7"/>
      <c r="AT34" s="7"/>
      <c r="AU34" s="7"/>
      <c r="AV34" s="7"/>
      <c r="AW34" s="7"/>
      <c r="AX34" s="7"/>
      <c r="AY34" s="7"/>
      <c r="AZ34" s="8"/>
      <c r="BA34" t="s">
        <v>308</v>
      </c>
      <c r="BB34" s="7"/>
      <c r="BC34" s="9" t="s">
        <v>82</v>
      </c>
      <c r="BD34" s="9" t="s">
        <v>82</v>
      </c>
      <c r="BE34" s="10" t="str">
        <f t="shared" si="3"/>
        <v>temperate</v>
      </c>
      <c r="BF34" s="11"/>
    </row>
    <row r="35" ht="42.75" spans="1:58">
      <c r="A35">
        <v>47</v>
      </c>
      <c r="B35" t="s">
        <v>298</v>
      </c>
      <c r="C35" t="s">
        <v>301</v>
      </c>
      <c r="D35">
        <v>2023</v>
      </c>
      <c r="E35" s="12" t="s">
        <v>302</v>
      </c>
      <c r="F35" t="s">
        <v>303</v>
      </c>
      <c r="G35">
        <v>46.82675</v>
      </c>
      <c r="H35">
        <v>17.56197</v>
      </c>
      <c r="I35">
        <v>26</v>
      </c>
      <c r="J35" t="s">
        <v>181</v>
      </c>
      <c r="K35" t="s">
        <v>182</v>
      </c>
      <c r="L35" t="s">
        <v>183</v>
      </c>
      <c r="M35" t="s">
        <v>147</v>
      </c>
      <c r="N35" t="s">
        <v>72</v>
      </c>
      <c r="O35" t="s">
        <v>147</v>
      </c>
      <c r="P35" t="s">
        <v>148</v>
      </c>
      <c r="Q35" t="s">
        <v>74</v>
      </c>
      <c r="R35" t="s">
        <v>75</v>
      </c>
      <c r="S35" s="1" t="s">
        <v>172</v>
      </c>
      <c r="T35" s="1" t="s">
        <v>172</v>
      </c>
      <c r="U35" s="1" t="s">
        <v>172</v>
      </c>
      <c r="V35" s="1" t="s">
        <v>173</v>
      </c>
      <c r="W35" s="13">
        <v>16.7</v>
      </c>
      <c r="X35" s="13" t="s">
        <v>79</v>
      </c>
      <c r="Y35" s="13" t="s">
        <v>80</v>
      </c>
      <c r="Z35" s="3">
        <v>19.699</v>
      </c>
      <c r="AA35" s="3">
        <v>6</v>
      </c>
      <c r="AB35" s="3">
        <v>2.397</v>
      </c>
      <c r="AC35" s="4">
        <v>13.665</v>
      </c>
      <c r="AD35" s="3">
        <v>6</v>
      </c>
      <c r="AE35" s="3">
        <v>5.642</v>
      </c>
      <c r="AF35" s="5" t="s">
        <v>81</v>
      </c>
      <c r="AG35" s="14">
        <v>1.97</v>
      </c>
      <c r="AH35" s="14">
        <v>6</v>
      </c>
      <c r="AI35" s="14">
        <v>0.295119246</v>
      </c>
      <c r="AJ35" s="14">
        <v>1.526</v>
      </c>
      <c r="AK35" s="14">
        <v>6</v>
      </c>
      <c r="AL35" s="14">
        <v>0.324631171</v>
      </c>
      <c r="AM35" s="7"/>
      <c r="AN35" s="15"/>
      <c r="AO35" s="15"/>
      <c r="AP35" s="7"/>
      <c r="AQ35" s="7"/>
      <c r="AR35" s="7"/>
      <c r="AS35" s="7"/>
      <c r="AT35" s="7"/>
      <c r="AU35" s="7"/>
      <c r="AV35" s="7"/>
      <c r="AW35" s="7"/>
      <c r="AX35" s="7"/>
      <c r="AY35" s="7"/>
      <c r="AZ35" s="8"/>
      <c r="BA35" t="s">
        <v>310</v>
      </c>
      <c r="BB35" s="7"/>
      <c r="BC35" s="9" t="s">
        <v>82</v>
      </c>
      <c r="BD35" s="9" t="s">
        <v>82</v>
      </c>
      <c r="BE35" s="10" t="str">
        <f t="shared" si="3"/>
        <v>temperate</v>
      </c>
      <c r="BF35" s="11"/>
    </row>
    <row r="36" ht="42.75" spans="1:58">
      <c r="A36">
        <v>48</v>
      </c>
      <c r="B36" t="s">
        <v>298</v>
      </c>
      <c r="C36" t="s">
        <v>301</v>
      </c>
      <c r="D36">
        <v>2023</v>
      </c>
      <c r="E36" s="12" t="s">
        <v>302</v>
      </c>
      <c r="F36" t="s">
        <v>303</v>
      </c>
      <c r="G36">
        <v>46.9167</v>
      </c>
      <c r="H36">
        <v>17.6667</v>
      </c>
      <c r="I36">
        <v>26</v>
      </c>
      <c r="J36" t="s">
        <v>181</v>
      </c>
      <c r="K36" t="s">
        <v>182</v>
      </c>
      <c r="L36" t="s">
        <v>183</v>
      </c>
      <c r="M36" t="s">
        <v>147</v>
      </c>
      <c r="N36" t="s">
        <v>72</v>
      </c>
      <c r="O36" t="s">
        <v>147</v>
      </c>
      <c r="P36" t="s">
        <v>148</v>
      </c>
      <c r="Q36" t="s">
        <v>74</v>
      </c>
      <c r="R36" t="s">
        <v>75</v>
      </c>
      <c r="S36" s="1" t="s">
        <v>172</v>
      </c>
      <c r="T36" s="1" t="s">
        <v>172</v>
      </c>
      <c r="U36" s="1" t="s">
        <v>172</v>
      </c>
      <c r="V36" s="1" t="s">
        <v>173</v>
      </c>
      <c r="W36" s="13">
        <v>1.17</v>
      </c>
      <c r="X36" s="13" t="s">
        <v>192</v>
      </c>
      <c r="Y36" s="13" t="s">
        <v>80</v>
      </c>
      <c r="Z36" s="3">
        <v>11.177</v>
      </c>
      <c r="AA36" s="3">
        <v>6</v>
      </c>
      <c r="AB36" s="3">
        <v>2.597</v>
      </c>
      <c r="AC36" s="4">
        <v>12.849</v>
      </c>
      <c r="AD36" s="3">
        <v>6</v>
      </c>
      <c r="AE36" s="3">
        <v>3.646</v>
      </c>
      <c r="AF36" s="5" t="s">
        <v>81</v>
      </c>
      <c r="AG36" s="14">
        <v>1.088</v>
      </c>
      <c r="AH36" s="14">
        <v>6</v>
      </c>
      <c r="AI36" s="14">
        <v>0.147559623</v>
      </c>
      <c r="AJ36" s="14">
        <v>1.259</v>
      </c>
      <c r="AK36" s="14">
        <v>6</v>
      </c>
      <c r="AL36" s="14">
        <v>0.103291736</v>
      </c>
      <c r="AM36" s="7"/>
      <c r="AN36" s="15"/>
      <c r="AO36" s="15"/>
      <c r="AP36" s="7"/>
      <c r="AQ36" s="7"/>
      <c r="AR36" s="7"/>
      <c r="AS36" s="7"/>
      <c r="AT36" s="7"/>
      <c r="AU36" s="7"/>
      <c r="AV36" s="7"/>
      <c r="AW36" s="7"/>
      <c r="AX36" s="7"/>
      <c r="AY36" s="7"/>
      <c r="AZ36" s="8"/>
      <c r="BA36" t="s">
        <v>312</v>
      </c>
      <c r="BB36" s="7"/>
      <c r="BC36" s="9" t="s">
        <v>82</v>
      </c>
      <c r="BD36" s="9" t="s">
        <v>82</v>
      </c>
      <c r="BE36" s="10" t="str">
        <f t="shared" si="3"/>
        <v>temperate</v>
      </c>
      <c r="BF36" s="11"/>
    </row>
    <row r="37" ht="42.75" spans="1:58">
      <c r="A37">
        <v>49</v>
      </c>
      <c r="B37" t="s">
        <v>298</v>
      </c>
      <c r="C37" t="s">
        <v>301</v>
      </c>
      <c r="D37">
        <v>2023</v>
      </c>
      <c r="E37" s="12" t="s">
        <v>302</v>
      </c>
      <c r="F37" t="s">
        <v>303</v>
      </c>
      <c r="G37">
        <v>46.9667</v>
      </c>
      <c r="H37">
        <v>17.8972</v>
      </c>
      <c r="I37">
        <v>26</v>
      </c>
      <c r="J37" t="s">
        <v>181</v>
      </c>
      <c r="K37" t="s">
        <v>182</v>
      </c>
      <c r="L37" t="s">
        <v>183</v>
      </c>
      <c r="M37" t="s">
        <v>147</v>
      </c>
      <c r="N37" t="s">
        <v>72</v>
      </c>
      <c r="O37" t="s">
        <v>147</v>
      </c>
      <c r="P37" t="s">
        <v>148</v>
      </c>
      <c r="Q37" t="s">
        <v>74</v>
      </c>
      <c r="R37" t="s">
        <v>75</v>
      </c>
      <c r="S37" s="1" t="s">
        <v>172</v>
      </c>
      <c r="T37" s="1" t="s">
        <v>172</v>
      </c>
      <c r="U37" s="1" t="s">
        <v>172</v>
      </c>
      <c r="V37" s="1" t="s">
        <v>173</v>
      </c>
      <c r="W37" s="13">
        <v>3.6</v>
      </c>
      <c r="X37" s="13" t="s">
        <v>192</v>
      </c>
      <c r="Y37" s="13" t="s">
        <v>80</v>
      </c>
      <c r="Z37" s="3">
        <v>20.556</v>
      </c>
      <c r="AA37" s="3">
        <v>6</v>
      </c>
      <c r="AB37" s="3">
        <v>4.894</v>
      </c>
      <c r="AC37" s="4">
        <v>11.34</v>
      </c>
      <c r="AD37" s="3">
        <v>6</v>
      </c>
      <c r="AE37" s="3">
        <v>2.097</v>
      </c>
      <c r="AF37" s="5" t="s">
        <v>81</v>
      </c>
      <c r="AG37" s="14">
        <v>1.373</v>
      </c>
      <c r="AH37" s="14">
        <v>6</v>
      </c>
      <c r="AI37" s="14">
        <v>0.167234239</v>
      </c>
      <c r="AJ37" s="14">
        <v>1.394</v>
      </c>
      <c r="AK37" s="14">
        <v>6</v>
      </c>
      <c r="AL37" s="14">
        <v>0.132803661</v>
      </c>
      <c r="AM37" s="7"/>
      <c r="AN37" s="15"/>
      <c r="AO37" s="15"/>
      <c r="AP37" s="7"/>
      <c r="AQ37" s="7"/>
      <c r="AR37" s="7"/>
      <c r="AS37" s="7"/>
      <c r="AT37" s="7"/>
      <c r="AU37" s="7"/>
      <c r="AV37" s="7"/>
      <c r="AW37" s="7"/>
      <c r="AX37" s="7"/>
      <c r="AY37" s="7"/>
      <c r="AZ37" s="8"/>
      <c r="BA37" t="s">
        <v>314</v>
      </c>
      <c r="BB37" s="7"/>
      <c r="BC37" s="9" t="s">
        <v>82</v>
      </c>
      <c r="BD37" s="9" t="s">
        <v>82</v>
      </c>
      <c r="BE37" s="10" t="str">
        <f t="shared" si="3"/>
        <v>temperate</v>
      </c>
      <c r="BF37" s="11"/>
    </row>
    <row r="38" ht="42.75" spans="1:58">
      <c r="A38">
        <v>50</v>
      </c>
      <c r="B38" t="s">
        <v>298</v>
      </c>
      <c r="C38" t="s">
        <v>301</v>
      </c>
      <c r="D38">
        <v>2023</v>
      </c>
      <c r="E38" s="12" t="s">
        <v>302</v>
      </c>
      <c r="F38" t="s">
        <v>303</v>
      </c>
      <c r="G38">
        <v>46.9167</v>
      </c>
      <c r="H38">
        <v>17.8139</v>
      </c>
      <c r="I38">
        <v>26</v>
      </c>
      <c r="J38" t="s">
        <v>181</v>
      </c>
      <c r="K38" t="s">
        <v>182</v>
      </c>
      <c r="L38" t="s">
        <v>183</v>
      </c>
      <c r="M38" t="s">
        <v>147</v>
      </c>
      <c r="N38" t="s">
        <v>72</v>
      </c>
      <c r="O38" t="s">
        <v>147</v>
      </c>
      <c r="P38" t="s">
        <v>148</v>
      </c>
      <c r="Q38" t="s">
        <v>74</v>
      </c>
      <c r="R38" t="s">
        <v>75</v>
      </c>
      <c r="S38" s="1" t="s">
        <v>172</v>
      </c>
      <c r="T38" s="1" t="s">
        <v>172</v>
      </c>
      <c r="U38" s="1" t="s">
        <v>172</v>
      </c>
      <c r="V38" s="1" t="s">
        <v>173</v>
      </c>
      <c r="W38" s="13">
        <v>1</v>
      </c>
      <c r="X38" s="13" t="s">
        <v>192</v>
      </c>
      <c r="Y38" s="13" t="s">
        <v>80</v>
      </c>
      <c r="Z38" s="3">
        <v>14.684</v>
      </c>
      <c r="AA38" s="3">
        <v>6</v>
      </c>
      <c r="AB38" s="3">
        <v>4.245</v>
      </c>
      <c r="AC38" s="4">
        <v>8.16</v>
      </c>
      <c r="AD38" s="3">
        <v>6</v>
      </c>
      <c r="AE38" s="3">
        <v>1.498</v>
      </c>
      <c r="AF38" s="5" t="s">
        <v>81</v>
      </c>
      <c r="AG38" s="14">
        <v>1.492</v>
      </c>
      <c r="AH38" s="14">
        <v>6</v>
      </c>
      <c r="AI38" s="14">
        <v>0.270525976</v>
      </c>
      <c r="AJ38" s="14">
        <v>1.145</v>
      </c>
      <c r="AK38" s="14">
        <v>6</v>
      </c>
      <c r="AL38" s="14">
        <v>0.10821039</v>
      </c>
      <c r="AM38" s="7"/>
      <c r="AN38" s="15"/>
      <c r="AO38" s="15"/>
      <c r="AP38" s="7"/>
      <c r="AQ38" s="7"/>
      <c r="AR38" s="7"/>
      <c r="AS38" s="7"/>
      <c r="AT38" s="7"/>
      <c r="AU38" s="7"/>
      <c r="AV38" s="7"/>
      <c r="AW38" s="7"/>
      <c r="AX38" s="7"/>
      <c r="AY38" s="7"/>
      <c r="AZ38" s="8"/>
      <c r="BA38" t="s">
        <v>316</v>
      </c>
      <c r="BB38" s="7"/>
      <c r="BC38" s="9" t="s">
        <v>82</v>
      </c>
      <c r="BD38" s="9" t="s">
        <v>82</v>
      </c>
      <c r="BE38" s="10" t="str">
        <f t="shared" si="3"/>
        <v>temperate</v>
      </c>
      <c r="BF38" s="11"/>
    </row>
    <row r="39" ht="128.25" spans="1:58">
      <c r="A39">
        <v>51</v>
      </c>
      <c r="B39" t="s">
        <v>317</v>
      </c>
      <c r="C39" t="s">
        <v>320</v>
      </c>
      <c r="D39">
        <v>2023</v>
      </c>
      <c r="E39" s="12" t="s">
        <v>321</v>
      </c>
      <c r="F39" t="s">
        <v>322</v>
      </c>
      <c r="G39">
        <v>52.5167</v>
      </c>
      <c r="H39">
        <v>13.4</v>
      </c>
      <c r="I39">
        <v>26</v>
      </c>
      <c r="J39" t="s">
        <v>181</v>
      </c>
      <c r="K39" t="s">
        <v>182</v>
      </c>
      <c r="L39" t="s">
        <v>183</v>
      </c>
      <c r="M39" t="s">
        <v>277</v>
      </c>
      <c r="N39" t="s">
        <v>217</v>
      </c>
      <c r="O39" t="s">
        <v>277</v>
      </c>
      <c r="P39" t="s">
        <v>279</v>
      </c>
      <c r="Q39" t="s">
        <v>74</v>
      </c>
      <c r="R39" t="s">
        <v>75</v>
      </c>
      <c r="S39" s="1" t="s">
        <v>323</v>
      </c>
      <c r="T39" s="1" t="s">
        <v>172</v>
      </c>
      <c r="U39" s="1" t="s">
        <v>324</v>
      </c>
      <c r="V39" s="1" t="s">
        <v>325</v>
      </c>
      <c r="W39" s="13">
        <v>31.3</v>
      </c>
      <c r="X39" s="13" t="s">
        <v>79</v>
      </c>
      <c r="Y39" s="13" t="s">
        <v>80</v>
      </c>
      <c r="Z39" s="3">
        <v>2.8</v>
      </c>
      <c r="AA39" s="3">
        <v>5</v>
      </c>
      <c r="AB39" s="3">
        <v>1.923</v>
      </c>
      <c r="AC39" s="3">
        <v>1.857</v>
      </c>
      <c r="AD39" s="3">
        <v>7</v>
      </c>
      <c r="AE39" s="3">
        <v>1.574</v>
      </c>
      <c r="AF39" s="5"/>
      <c r="AG39" s="18"/>
      <c r="AH39" s="18"/>
      <c r="AI39" s="18"/>
      <c r="AJ39" s="18"/>
      <c r="AK39" s="18"/>
      <c r="AL39" s="18"/>
      <c r="AM39" s="7"/>
      <c r="AN39" s="15"/>
      <c r="AO39" s="15"/>
      <c r="AP39" s="7"/>
      <c r="AQ39" s="7"/>
      <c r="AR39" s="7"/>
      <c r="AS39" s="7"/>
      <c r="AT39" s="7"/>
      <c r="AU39" s="7"/>
      <c r="AV39" s="7"/>
      <c r="AW39" s="7"/>
      <c r="AX39" s="7"/>
      <c r="AY39" s="7"/>
      <c r="AZ39" s="8"/>
      <c r="BA39" s="1" t="s">
        <v>326</v>
      </c>
      <c r="BB39" s="7"/>
      <c r="BC39" s="9" t="s">
        <v>82</v>
      </c>
      <c r="BD39" s="9" t="s">
        <v>82</v>
      </c>
      <c r="BE39" s="10" t="str">
        <f t="shared" si="3"/>
        <v>temperate</v>
      </c>
      <c r="BF39" s="11"/>
    </row>
    <row r="40" ht="42.75" spans="1:58">
      <c r="A40">
        <v>52</v>
      </c>
      <c r="B40" t="s">
        <v>327</v>
      </c>
      <c r="C40" t="s">
        <v>330</v>
      </c>
      <c r="D40">
        <v>2023</v>
      </c>
      <c r="E40" s="12" t="s">
        <v>331</v>
      </c>
      <c r="F40" t="s">
        <v>332</v>
      </c>
      <c r="G40">
        <v>42.3149</v>
      </c>
      <c r="H40">
        <v>-83.0364</v>
      </c>
      <c r="I40">
        <v>25</v>
      </c>
      <c r="J40" t="s">
        <v>216</v>
      </c>
      <c r="K40" t="s">
        <v>182</v>
      </c>
      <c r="L40" t="s">
        <v>183</v>
      </c>
      <c r="M40" t="s">
        <v>147</v>
      </c>
      <c r="N40" t="s">
        <v>72</v>
      </c>
      <c r="O40" t="s">
        <v>147</v>
      </c>
      <c r="P40" t="s">
        <v>148</v>
      </c>
      <c r="Q40" t="s">
        <v>74</v>
      </c>
      <c r="R40" t="s">
        <v>75</v>
      </c>
      <c r="S40" s="1" t="s">
        <v>333</v>
      </c>
      <c r="T40" s="1" t="s">
        <v>172</v>
      </c>
      <c r="U40" s="1" t="s">
        <v>172</v>
      </c>
      <c r="V40" s="1" t="s">
        <v>173</v>
      </c>
      <c r="W40" s="13">
        <v>34.5</v>
      </c>
      <c r="X40" s="13" t="s">
        <v>79</v>
      </c>
      <c r="Y40" s="13" t="s">
        <v>80</v>
      </c>
      <c r="Z40" s="3">
        <v>23</v>
      </c>
      <c r="AA40" s="3">
        <v>8</v>
      </c>
      <c r="AB40" s="3">
        <v>6.590235201</v>
      </c>
      <c r="AC40" s="4">
        <v>15.2</v>
      </c>
      <c r="AD40" s="3">
        <v>5</v>
      </c>
      <c r="AE40" s="3">
        <v>7.200138888</v>
      </c>
      <c r="AF40" s="5" t="s">
        <v>81</v>
      </c>
      <c r="AG40" s="18">
        <v>1.37</v>
      </c>
      <c r="AH40" s="18">
        <v>8</v>
      </c>
      <c r="AI40" s="18">
        <v>0.395979797</v>
      </c>
      <c r="AJ40" s="18">
        <v>0.88</v>
      </c>
      <c r="AK40" s="18">
        <v>5</v>
      </c>
      <c r="AL40" s="18">
        <v>0.46957427</v>
      </c>
      <c r="AM40" s="7"/>
      <c r="AN40" s="15"/>
      <c r="AO40" s="15"/>
      <c r="AP40" s="7"/>
      <c r="AQ40" s="7"/>
      <c r="AR40" s="7"/>
      <c r="AS40" s="7"/>
      <c r="AT40" s="7"/>
      <c r="AU40" s="7"/>
      <c r="AV40" s="7"/>
      <c r="AW40" s="7"/>
      <c r="AX40" s="7"/>
      <c r="AY40" s="7"/>
      <c r="AZ40" s="8"/>
      <c r="BA40" s="1"/>
      <c r="BB40" s="7"/>
      <c r="BC40" s="9" t="s">
        <v>82</v>
      </c>
      <c r="BD40" s="9" t="s">
        <v>82</v>
      </c>
      <c r="BE40" s="10" t="str">
        <f t="shared" si="3"/>
        <v>temperate</v>
      </c>
      <c r="BF40" s="11"/>
    </row>
    <row r="41" spans="1:58">
      <c r="A41">
        <v>53</v>
      </c>
      <c r="B41" t="s">
        <v>334</v>
      </c>
      <c r="C41" t="s">
        <v>337</v>
      </c>
      <c r="D41">
        <v>2022</v>
      </c>
      <c r="E41" s="17" t="s">
        <v>338</v>
      </c>
      <c r="F41" t="s">
        <v>208</v>
      </c>
      <c r="G41">
        <v>-35</v>
      </c>
      <c r="H41">
        <v>-57.83</v>
      </c>
      <c r="I41">
        <v>14</v>
      </c>
      <c r="J41" t="s">
        <v>89</v>
      </c>
      <c r="K41" t="s">
        <v>182</v>
      </c>
      <c r="L41" t="s">
        <v>146</v>
      </c>
      <c r="M41" t="s">
        <v>339</v>
      </c>
      <c r="N41" t="s">
        <v>72</v>
      </c>
      <c r="O41" t="s">
        <v>340</v>
      </c>
      <c r="P41" t="s">
        <v>341</v>
      </c>
      <c r="Q41" t="s">
        <v>74</v>
      </c>
      <c r="R41" t="s">
        <v>75</v>
      </c>
      <c r="S41" s="1" t="s">
        <v>76</v>
      </c>
      <c r="T41" s="1" t="s">
        <v>76</v>
      </c>
      <c r="U41" s="1" t="s">
        <v>76</v>
      </c>
      <c r="V41" s="1" t="s">
        <v>78</v>
      </c>
      <c r="W41" s="13">
        <v>37</v>
      </c>
      <c r="X41" s="13" t="s">
        <v>79</v>
      </c>
      <c r="Y41" s="13" t="s">
        <v>80</v>
      </c>
      <c r="Z41" s="3">
        <v>24.41207</v>
      </c>
      <c r="AA41" s="3">
        <v>4</v>
      </c>
      <c r="AB41" s="3">
        <v>2.122789</v>
      </c>
      <c r="AC41" s="3">
        <v>15.421</v>
      </c>
      <c r="AD41" s="3">
        <v>4</v>
      </c>
      <c r="AE41" s="3">
        <v>3.995838</v>
      </c>
      <c r="AF41" s="5" t="s">
        <v>81</v>
      </c>
      <c r="AG41" s="14">
        <v>3.068182</v>
      </c>
      <c r="AH41" s="14">
        <v>4</v>
      </c>
      <c r="AI41" s="14">
        <v>0.785124</v>
      </c>
      <c r="AJ41" s="19">
        <v>3.605372</v>
      </c>
      <c r="AK41" s="14">
        <v>4</v>
      </c>
      <c r="AL41" s="14">
        <v>0.366736</v>
      </c>
      <c r="AM41" s="7"/>
      <c r="AN41" s="15"/>
      <c r="AO41" s="15"/>
      <c r="AP41" s="7"/>
      <c r="AQ41" s="7"/>
      <c r="AR41" s="7"/>
      <c r="AS41" s="7"/>
      <c r="AT41" s="7"/>
      <c r="AU41" s="7"/>
      <c r="AV41" s="7"/>
      <c r="AW41" s="7"/>
      <c r="AX41" s="7"/>
      <c r="AY41" s="7"/>
      <c r="AZ41" s="8"/>
      <c r="BA41" s="1"/>
      <c r="BB41" s="7"/>
      <c r="BC41" s="9" t="s">
        <v>82</v>
      </c>
      <c r="BD41" s="9" t="s">
        <v>82</v>
      </c>
      <c r="BE41" s="10" t="str">
        <f t="shared" si="3"/>
        <v>subtropic</v>
      </c>
      <c r="BF41" s="11"/>
    </row>
    <row r="42" ht="42.75" spans="1:58">
      <c r="A42">
        <v>54</v>
      </c>
      <c r="B42" t="s">
        <v>334</v>
      </c>
      <c r="C42" t="s">
        <v>337</v>
      </c>
      <c r="D42">
        <v>2022</v>
      </c>
      <c r="E42" s="17" t="s">
        <v>338</v>
      </c>
      <c r="F42" t="s">
        <v>208</v>
      </c>
      <c r="G42">
        <v>-35</v>
      </c>
      <c r="H42">
        <v>-57.83</v>
      </c>
      <c r="I42">
        <v>14</v>
      </c>
      <c r="J42" t="s">
        <v>89</v>
      </c>
      <c r="K42" t="s">
        <v>182</v>
      </c>
      <c r="L42" t="s">
        <v>146</v>
      </c>
      <c r="M42" t="s">
        <v>339</v>
      </c>
      <c r="N42" t="s">
        <v>72</v>
      </c>
      <c r="O42" t="s">
        <v>340</v>
      </c>
      <c r="P42" t="s">
        <v>341</v>
      </c>
      <c r="Q42" t="s">
        <v>74</v>
      </c>
      <c r="R42" t="s">
        <v>90</v>
      </c>
      <c r="S42" s="1" t="s">
        <v>342</v>
      </c>
      <c r="T42" s="1" t="s">
        <v>240</v>
      </c>
      <c r="U42" s="1" t="s">
        <v>241</v>
      </c>
      <c r="V42" s="1" t="s">
        <v>241</v>
      </c>
      <c r="W42" s="13">
        <v>37</v>
      </c>
      <c r="X42" s="13" t="s">
        <v>79</v>
      </c>
      <c r="Y42" s="13" t="s">
        <v>80</v>
      </c>
      <c r="Z42" s="20">
        <v>39.20916</v>
      </c>
      <c r="AA42" s="21">
        <v>12</v>
      </c>
      <c r="AB42" s="20">
        <v>15.42144</v>
      </c>
      <c r="AC42" s="4">
        <v>29.53174</v>
      </c>
      <c r="AD42" s="21">
        <v>9</v>
      </c>
      <c r="AE42" s="20">
        <v>14.04787</v>
      </c>
      <c r="AF42" s="5" t="s">
        <v>81</v>
      </c>
      <c r="AG42" s="14">
        <v>3.982438</v>
      </c>
      <c r="AH42" s="14">
        <v>9</v>
      </c>
      <c r="AI42" s="14">
        <v>0.650826</v>
      </c>
      <c r="AJ42" s="14">
        <v>1.596074</v>
      </c>
      <c r="AK42" s="14">
        <v>9</v>
      </c>
      <c r="AL42" s="14">
        <v>0.914256</v>
      </c>
      <c r="AM42" s="7"/>
      <c r="AN42" s="15"/>
      <c r="AO42" s="15"/>
      <c r="AP42" s="7"/>
      <c r="AQ42" s="7"/>
      <c r="AR42" s="7"/>
      <c r="AS42" s="7"/>
      <c r="AT42" s="7"/>
      <c r="AU42" s="7"/>
      <c r="AV42" s="7"/>
      <c r="AW42" s="7"/>
      <c r="AX42" s="7"/>
      <c r="AY42" s="7"/>
      <c r="AZ42" s="8"/>
      <c r="BA42" s="1"/>
      <c r="BB42" s="7"/>
      <c r="BC42" s="9" t="s">
        <v>82</v>
      </c>
      <c r="BD42" s="9" t="s">
        <v>82</v>
      </c>
      <c r="BE42" s="10" t="str">
        <f t="shared" si="3"/>
        <v>subtropic</v>
      </c>
      <c r="BF42" s="11"/>
    </row>
    <row r="43" ht="28.5" spans="1:58">
      <c r="A43">
        <v>55</v>
      </c>
      <c r="B43" t="s">
        <v>334</v>
      </c>
      <c r="C43" t="s">
        <v>337</v>
      </c>
      <c r="D43">
        <v>2022</v>
      </c>
      <c r="E43" s="17" t="s">
        <v>338</v>
      </c>
      <c r="F43" t="s">
        <v>208</v>
      </c>
      <c r="G43">
        <v>-35</v>
      </c>
      <c r="H43">
        <v>-57.83</v>
      </c>
      <c r="I43">
        <v>14</v>
      </c>
      <c r="J43" t="s">
        <v>89</v>
      </c>
      <c r="K43" t="s">
        <v>182</v>
      </c>
      <c r="L43" t="s">
        <v>146</v>
      </c>
      <c r="M43" t="s">
        <v>339</v>
      </c>
      <c r="N43" t="s">
        <v>72</v>
      </c>
      <c r="O43" t="s">
        <v>340</v>
      </c>
      <c r="P43" t="s">
        <v>341</v>
      </c>
      <c r="Q43" t="s">
        <v>74</v>
      </c>
      <c r="R43" t="s">
        <v>75</v>
      </c>
      <c r="S43" s="1" t="s">
        <v>343</v>
      </c>
      <c r="T43" s="1" t="s">
        <v>172</v>
      </c>
      <c r="U43" s="1" t="s">
        <v>324</v>
      </c>
      <c r="V43" s="1" t="s">
        <v>325</v>
      </c>
      <c r="W43" s="13">
        <v>37</v>
      </c>
      <c r="X43" s="13" t="s">
        <v>79</v>
      </c>
      <c r="Y43" s="13" t="s">
        <v>80</v>
      </c>
      <c r="Z43" s="20">
        <v>4.370447</v>
      </c>
      <c r="AA43" s="21">
        <v>16</v>
      </c>
      <c r="AB43" s="20">
        <v>2.497399</v>
      </c>
      <c r="AC43" s="4">
        <v>2.434964</v>
      </c>
      <c r="AD43" s="21">
        <v>2</v>
      </c>
      <c r="AE43" s="20">
        <v>0.936524</v>
      </c>
      <c r="AF43" s="5" t="s">
        <v>81</v>
      </c>
      <c r="AG43" s="14">
        <v>1.599587</v>
      </c>
      <c r="AH43" s="14">
        <v>30</v>
      </c>
      <c r="AI43" s="14">
        <v>0.650155</v>
      </c>
      <c r="AJ43" s="14">
        <v>0.717234</v>
      </c>
      <c r="AK43" s="14">
        <v>22</v>
      </c>
      <c r="AL43" s="14">
        <v>0.557276</v>
      </c>
      <c r="AM43" s="7"/>
      <c r="AN43" s="15"/>
      <c r="AO43" s="15"/>
      <c r="AP43" s="7"/>
      <c r="AQ43" s="7"/>
      <c r="AR43" s="7"/>
      <c r="AS43" s="7"/>
      <c r="AT43" s="7"/>
      <c r="AU43" s="7"/>
      <c r="AV43" s="7"/>
      <c r="AW43" s="7"/>
      <c r="AX43" s="7"/>
      <c r="AY43" s="7"/>
      <c r="AZ43" s="8"/>
      <c r="BA43" s="1"/>
      <c r="BB43" s="7"/>
      <c r="BC43" s="9" t="s">
        <v>82</v>
      </c>
      <c r="BD43" s="9" t="s">
        <v>82</v>
      </c>
      <c r="BE43" s="10" t="str">
        <f t="shared" si="3"/>
        <v>subtropic</v>
      </c>
      <c r="BF43" s="11"/>
    </row>
    <row r="44" spans="1:58">
      <c r="A44">
        <v>56</v>
      </c>
      <c r="B44" t="s">
        <v>334</v>
      </c>
      <c r="C44" t="s">
        <v>337</v>
      </c>
      <c r="D44">
        <v>2022</v>
      </c>
      <c r="E44" s="17" t="s">
        <v>338</v>
      </c>
      <c r="F44" t="s">
        <v>208</v>
      </c>
      <c r="G44">
        <v>-35</v>
      </c>
      <c r="H44">
        <v>-57.83</v>
      </c>
      <c r="I44">
        <v>14</v>
      </c>
      <c r="J44" t="s">
        <v>89</v>
      </c>
      <c r="K44" t="s">
        <v>182</v>
      </c>
      <c r="L44" t="s">
        <v>146</v>
      </c>
      <c r="M44" t="s">
        <v>339</v>
      </c>
      <c r="N44" t="s">
        <v>72</v>
      </c>
      <c r="O44" t="s">
        <v>340</v>
      </c>
      <c r="P44" t="s">
        <v>341</v>
      </c>
      <c r="Q44" t="s">
        <v>74</v>
      </c>
      <c r="R44" t="s">
        <v>75</v>
      </c>
      <c r="S44" s="1" t="s">
        <v>117</v>
      </c>
      <c r="T44" s="1" t="s">
        <v>117</v>
      </c>
      <c r="U44" s="1" t="s">
        <v>117</v>
      </c>
      <c r="V44" s="1" t="s">
        <v>118</v>
      </c>
      <c r="W44" s="13">
        <v>37</v>
      </c>
      <c r="X44" s="13" t="s">
        <v>79</v>
      </c>
      <c r="Y44" s="13" t="s">
        <v>80</v>
      </c>
      <c r="Z44" s="3">
        <v>15.85848</v>
      </c>
      <c r="AA44" s="3">
        <v>5</v>
      </c>
      <c r="AB44" s="3">
        <v>2.185224</v>
      </c>
      <c r="AC44" s="4">
        <v>4.308012</v>
      </c>
      <c r="AD44" s="3">
        <v>2</v>
      </c>
      <c r="AE44" s="3">
        <v>1.061394</v>
      </c>
      <c r="AF44" s="5" t="s">
        <v>81</v>
      </c>
      <c r="AG44" s="14">
        <v>2.936017</v>
      </c>
      <c r="AH44" s="14">
        <v>5</v>
      </c>
      <c r="AI44" s="14">
        <v>0.469556</v>
      </c>
      <c r="AJ44" s="14">
        <v>0.464396</v>
      </c>
      <c r="AK44" s="14">
        <v>3</v>
      </c>
      <c r="AL44" s="14">
        <v>0.485036</v>
      </c>
      <c r="AM44" s="7"/>
      <c r="AN44" s="15"/>
      <c r="AO44" s="15"/>
      <c r="AP44" s="7"/>
      <c r="AQ44" s="7"/>
      <c r="AR44" s="7"/>
      <c r="AS44" s="7"/>
      <c r="AT44" s="7"/>
      <c r="AU44" s="7"/>
      <c r="AV44" s="7"/>
      <c r="AW44" s="7"/>
      <c r="AX44" s="7"/>
      <c r="AY44" s="7"/>
      <c r="AZ44" s="8"/>
      <c r="BA44" s="1"/>
      <c r="BB44" s="7"/>
      <c r="BC44" s="9" t="s">
        <v>82</v>
      </c>
      <c r="BD44" s="9" t="s">
        <v>82</v>
      </c>
      <c r="BE44" s="10" t="str">
        <f t="shared" si="3"/>
        <v>subtropic</v>
      </c>
      <c r="BF44" s="11"/>
    </row>
    <row r="45" ht="42.75" spans="1:58">
      <c r="A45">
        <v>57</v>
      </c>
      <c r="B45" t="s">
        <v>334</v>
      </c>
      <c r="C45" t="s">
        <v>337</v>
      </c>
      <c r="D45">
        <v>2022</v>
      </c>
      <c r="E45" s="17" t="s">
        <v>338</v>
      </c>
      <c r="F45" t="s">
        <v>208</v>
      </c>
      <c r="G45">
        <v>-35</v>
      </c>
      <c r="H45">
        <v>-57.83</v>
      </c>
      <c r="I45">
        <v>14</v>
      </c>
      <c r="J45" t="s">
        <v>89</v>
      </c>
      <c r="K45" t="s">
        <v>182</v>
      </c>
      <c r="L45" t="s">
        <v>146</v>
      </c>
      <c r="M45" t="s">
        <v>339</v>
      </c>
      <c r="N45" t="s">
        <v>72</v>
      </c>
      <c r="O45" t="s">
        <v>340</v>
      </c>
      <c r="P45" t="s">
        <v>341</v>
      </c>
      <c r="Q45" t="s">
        <v>74</v>
      </c>
      <c r="R45" t="s">
        <v>75</v>
      </c>
      <c r="S45" s="1" t="s">
        <v>172</v>
      </c>
      <c r="T45" s="1" t="s">
        <v>172</v>
      </c>
      <c r="U45" s="1" t="s">
        <v>172</v>
      </c>
      <c r="V45" s="1" t="s">
        <v>173</v>
      </c>
      <c r="W45" s="13">
        <v>37</v>
      </c>
      <c r="X45" s="13" t="s">
        <v>79</v>
      </c>
      <c r="Y45" s="13" t="s">
        <v>80</v>
      </c>
      <c r="Z45" s="3">
        <v>10.80125</v>
      </c>
      <c r="AA45" s="3">
        <v>34</v>
      </c>
      <c r="AB45" s="3">
        <v>3.995838</v>
      </c>
      <c r="AC45" s="4">
        <v>9.42768</v>
      </c>
      <c r="AD45" s="3">
        <v>15</v>
      </c>
      <c r="AE45" s="3">
        <v>2.934443</v>
      </c>
      <c r="AF45" s="5" t="s">
        <v>81</v>
      </c>
      <c r="AG45" s="14">
        <v>2.115583</v>
      </c>
      <c r="AH45" s="14">
        <v>29</v>
      </c>
      <c r="AI45" s="14">
        <v>0.727554</v>
      </c>
      <c r="AJ45" s="14">
        <v>1.847265</v>
      </c>
      <c r="AK45" s="14">
        <v>31</v>
      </c>
      <c r="AL45" s="14">
        <v>0.598555</v>
      </c>
      <c r="AM45" s="7"/>
      <c r="AN45" s="15"/>
      <c r="AO45" s="15"/>
      <c r="AP45" s="7"/>
      <c r="AQ45" s="7"/>
      <c r="AR45" s="7"/>
      <c r="AS45" s="7"/>
      <c r="AT45" s="7"/>
      <c r="AU45" s="7"/>
      <c r="AV45" s="7"/>
      <c r="AW45" s="7"/>
      <c r="AX45" s="7"/>
      <c r="AY45" s="7"/>
      <c r="AZ45" s="8"/>
      <c r="BA45" s="1"/>
      <c r="BB45" s="7"/>
      <c r="BC45" s="9" t="s">
        <v>82</v>
      </c>
      <c r="BD45" s="9" t="s">
        <v>82</v>
      </c>
      <c r="BE45" s="10" t="str">
        <f t="shared" si="3"/>
        <v>subtropic</v>
      </c>
      <c r="BF45" s="11"/>
    </row>
    <row r="46" ht="28.5" spans="1:58">
      <c r="A46">
        <v>58</v>
      </c>
      <c r="B46" t="s">
        <v>334</v>
      </c>
      <c r="C46" t="s">
        <v>337</v>
      </c>
      <c r="D46">
        <v>2022</v>
      </c>
      <c r="E46" s="17" t="s">
        <v>338</v>
      </c>
      <c r="F46" t="s">
        <v>208</v>
      </c>
      <c r="G46">
        <v>-35</v>
      </c>
      <c r="H46">
        <v>-57.83</v>
      </c>
      <c r="I46">
        <v>14</v>
      </c>
      <c r="J46" t="s">
        <v>89</v>
      </c>
      <c r="K46" t="s">
        <v>182</v>
      </c>
      <c r="L46" t="s">
        <v>146</v>
      </c>
      <c r="M46" t="s">
        <v>339</v>
      </c>
      <c r="N46" t="s">
        <v>72</v>
      </c>
      <c r="O46" t="s">
        <v>340</v>
      </c>
      <c r="P46" t="s">
        <v>341</v>
      </c>
      <c r="Q46" t="s">
        <v>74</v>
      </c>
      <c r="R46" t="s">
        <v>75</v>
      </c>
      <c r="S46" s="1" t="s">
        <v>344</v>
      </c>
      <c r="T46" s="1" t="s">
        <v>344</v>
      </c>
      <c r="U46" s="1" t="s">
        <v>344</v>
      </c>
      <c r="V46" s="1" t="s">
        <v>344</v>
      </c>
      <c r="W46" s="13">
        <v>37</v>
      </c>
      <c r="X46" s="13" t="s">
        <v>79</v>
      </c>
      <c r="Y46" s="13" t="s">
        <v>80</v>
      </c>
      <c r="Z46" s="20">
        <v>8.42872</v>
      </c>
      <c r="AA46" s="21">
        <v>10</v>
      </c>
      <c r="AB46" s="20">
        <v>5.806452</v>
      </c>
      <c r="AC46" s="4">
        <v>16.10822</v>
      </c>
      <c r="AD46" s="21">
        <v>8</v>
      </c>
      <c r="AE46" s="20">
        <v>7.92924</v>
      </c>
      <c r="AF46" s="5" t="s">
        <v>81</v>
      </c>
      <c r="AG46" s="14">
        <v>1.429309</v>
      </c>
      <c r="AH46" s="14">
        <v>11</v>
      </c>
      <c r="AI46" s="14">
        <v>0.670795</v>
      </c>
      <c r="AJ46" s="14">
        <v>1.599587</v>
      </c>
      <c r="AK46" s="14">
        <v>9</v>
      </c>
      <c r="AL46" s="14">
        <v>0.908153</v>
      </c>
      <c r="AM46" s="7"/>
      <c r="AN46" s="15"/>
      <c r="AO46" s="15"/>
      <c r="AP46" s="7"/>
      <c r="AQ46" s="7"/>
      <c r="AR46" s="7"/>
      <c r="AS46" s="7"/>
      <c r="AT46" s="7"/>
      <c r="AU46" s="7"/>
      <c r="AV46" s="7"/>
      <c r="AW46" s="7"/>
      <c r="AX46" s="7"/>
      <c r="AY46" s="7"/>
      <c r="AZ46" s="8"/>
      <c r="BA46" s="1"/>
      <c r="BB46" s="7"/>
      <c r="BC46" s="9" t="s">
        <v>82</v>
      </c>
      <c r="BD46" s="9" t="s">
        <v>82</v>
      </c>
      <c r="BE46" s="10" t="str">
        <f t="shared" si="3"/>
        <v>subtropic</v>
      </c>
      <c r="BF46" s="11"/>
    </row>
    <row r="47" ht="42.75" spans="1:58">
      <c r="A47">
        <v>59</v>
      </c>
      <c r="B47" t="s">
        <v>334</v>
      </c>
      <c r="C47" t="s">
        <v>337</v>
      </c>
      <c r="D47">
        <v>2022</v>
      </c>
      <c r="E47" s="12" t="s">
        <v>338</v>
      </c>
      <c r="F47" t="s">
        <v>208</v>
      </c>
      <c r="G47">
        <v>-35</v>
      </c>
      <c r="H47">
        <v>-57.83</v>
      </c>
      <c r="I47">
        <v>14</v>
      </c>
      <c r="J47" t="s">
        <v>89</v>
      </c>
      <c r="K47" t="s">
        <v>182</v>
      </c>
      <c r="L47" t="s">
        <v>146</v>
      </c>
      <c r="M47" t="s">
        <v>339</v>
      </c>
      <c r="N47" t="s">
        <v>72</v>
      </c>
      <c r="O47" t="s">
        <v>340</v>
      </c>
      <c r="P47" t="s">
        <v>341</v>
      </c>
      <c r="Q47" t="s">
        <v>74</v>
      </c>
      <c r="R47" t="s">
        <v>90</v>
      </c>
      <c r="S47" s="1" t="s">
        <v>345</v>
      </c>
      <c r="T47" s="1" t="s">
        <v>240</v>
      </c>
      <c r="U47" s="1" t="s">
        <v>241</v>
      </c>
      <c r="V47" s="1" t="s">
        <v>241</v>
      </c>
      <c r="W47" s="13">
        <v>37</v>
      </c>
      <c r="X47" s="13" t="s">
        <v>79</v>
      </c>
      <c r="Y47" s="13" t="s">
        <v>80</v>
      </c>
      <c r="Z47" s="3">
        <v>42.83039</v>
      </c>
      <c r="AA47" s="3">
        <v>11</v>
      </c>
      <c r="AB47" s="3">
        <v>11.98751</v>
      </c>
      <c r="AC47" s="4">
        <v>30.03122</v>
      </c>
      <c r="AD47" s="3">
        <v>8</v>
      </c>
      <c r="AE47" s="3">
        <v>8.80333</v>
      </c>
      <c r="AF47" s="5" t="s">
        <v>81</v>
      </c>
      <c r="AG47" s="14">
        <v>3.441692</v>
      </c>
      <c r="AH47" s="14">
        <v>13</v>
      </c>
      <c r="AI47" s="14">
        <v>0.975232</v>
      </c>
      <c r="AJ47" s="14">
        <v>2.50774</v>
      </c>
      <c r="AK47" s="14">
        <v>9</v>
      </c>
      <c r="AL47" s="14">
        <v>1.124871</v>
      </c>
      <c r="AM47" s="7"/>
      <c r="AN47" s="15"/>
      <c r="AO47" s="15"/>
      <c r="AP47" s="7"/>
      <c r="AQ47" s="7"/>
      <c r="AR47" s="7"/>
      <c r="AS47" s="7"/>
      <c r="AT47" s="7"/>
      <c r="AU47" s="7"/>
      <c r="AV47" s="7"/>
      <c r="AW47" s="7"/>
      <c r="AX47" s="7"/>
      <c r="AY47" s="7"/>
      <c r="AZ47" s="8"/>
      <c r="BA47" s="1"/>
      <c r="BB47" s="7"/>
      <c r="BC47" s="9" t="s">
        <v>82</v>
      </c>
      <c r="BD47" s="9" t="s">
        <v>82</v>
      </c>
      <c r="BE47" s="10" t="str">
        <f t="shared" si="3"/>
        <v>subtropic</v>
      </c>
      <c r="BF47" s="11"/>
    </row>
    <row r="48" spans="1:58">
      <c r="A48">
        <v>63</v>
      </c>
      <c r="B48" t="s">
        <v>346</v>
      </c>
      <c r="C48" t="s">
        <v>349</v>
      </c>
      <c r="D48">
        <v>2022</v>
      </c>
      <c r="E48" s="12" t="s">
        <v>350</v>
      </c>
      <c r="F48" t="s">
        <v>68</v>
      </c>
      <c r="G48">
        <v>31.5</v>
      </c>
      <c r="H48">
        <v>117.25</v>
      </c>
      <c r="I48">
        <v>14</v>
      </c>
      <c r="J48" t="s">
        <v>89</v>
      </c>
      <c r="K48" t="s">
        <v>70</v>
      </c>
      <c r="L48" t="s">
        <v>71</v>
      </c>
      <c r="M48" t="s">
        <v>72</v>
      </c>
      <c r="N48" t="s">
        <v>72</v>
      </c>
      <c r="O48" t="s">
        <v>72</v>
      </c>
      <c r="P48" t="s">
        <v>73</v>
      </c>
      <c r="Q48" t="s">
        <v>74</v>
      </c>
      <c r="R48" t="s">
        <v>75</v>
      </c>
      <c r="S48" s="1" t="s">
        <v>76</v>
      </c>
      <c r="T48" s="1" t="s">
        <v>76</v>
      </c>
      <c r="U48" s="1" t="s">
        <v>76</v>
      </c>
      <c r="V48" s="1" t="s">
        <v>78</v>
      </c>
      <c r="W48" s="13">
        <v>49</v>
      </c>
      <c r="X48" s="13" t="s">
        <v>79</v>
      </c>
      <c r="Y48" s="13" t="s">
        <v>80</v>
      </c>
      <c r="Z48" s="3">
        <v>34.5</v>
      </c>
      <c r="AA48" s="3">
        <v>3</v>
      </c>
      <c r="AB48" s="3">
        <v>0.5</v>
      </c>
      <c r="AC48" s="4">
        <v>35.5</v>
      </c>
      <c r="AD48" s="3">
        <v>3</v>
      </c>
      <c r="AE48" s="3">
        <v>1.5</v>
      </c>
      <c r="AF48" s="5" t="s">
        <v>81</v>
      </c>
      <c r="AG48" s="14">
        <v>3.17</v>
      </c>
      <c r="AH48" s="14">
        <v>3</v>
      </c>
      <c r="AI48" s="14">
        <v>0.01</v>
      </c>
      <c r="AJ48" s="14">
        <v>3.15</v>
      </c>
      <c r="AK48" s="14">
        <v>3</v>
      </c>
      <c r="AL48" s="14">
        <v>0.04</v>
      </c>
      <c r="AM48" s="7"/>
      <c r="AN48" s="15"/>
      <c r="AO48" s="15"/>
      <c r="AP48" s="7"/>
      <c r="AQ48" s="7"/>
      <c r="AR48" s="7"/>
      <c r="AS48" s="7"/>
      <c r="AT48" s="7"/>
      <c r="AU48" s="7"/>
      <c r="AV48" s="7"/>
      <c r="AW48" s="7"/>
      <c r="AX48" s="7"/>
      <c r="AY48" s="7"/>
      <c r="AZ48" s="8" t="s">
        <v>135</v>
      </c>
      <c r="BA48" s="1"/>
      <c r="BB48" s="7"/>
      <c r="BC48" s="9" t="s">
        <v>82</v>
      </c>
      <c r="BD48" s="9" t="s">
        <v>82</v>
      </c>
      <c r="BE48" s="10" t="str">
        <f t="shared" si="3"/>
        <v>subtropic</v>
      </c>
      <c r="BF48" s="11"/>
    </row>
    <row r="49" ht="42.75" spans="1:58">
      <c r="A49">
        <v>64</v>
      </c>
      <c r="B49" t="s">
        <v>351</v>
      </c>
      <c r="C49" t="s">
        <v>354</v>
      </c>
      <c r="D49">
        <v>2022</v>
      </c>
      <c r="E49" s="12" t="s">
        <v>355</v>
      </c>
      <c r="F49" t="s">
        <v>356</v>
      </c>
      <c r="G49">
        <v>-33.3856</v>
      </c>
      <c r="H49">
        <v>150.4865</v>
      </c>
      <c r="I49">
        <v>15</v>
      </c>
      <c r="J49" t="s">
        <v>357</v>
      </c>
      <c r="K49" t="s">
        <v>182</v>
      </c>
      <c r="L49" t="s">
        <v>358</v>
      </c>
      <c r="M49" t="s">
        <v>359</v>
      </c>
      <c r="N49" t="s">
        <v>267</v>
      </c>
      <c r="O49" t="s">
        <v>268</v>
      </c>
      <c r="P49" t="s">
        <v>360</v>
      </c>
      <c r="Q49" t="s">
        <v>74</v>
      </c>
      <c r="R49" t="s">
        <v>90</v>
      </c>
      <c r="S49" s="1" t="s">
        <v>92</v>
      </c>
      <c r="T49" s="1" t="s">
        <v>92</v>
      </c>
      <c r="U49" s="1" t="s">
        <v>92</v>
      </c>
      <c r="V49" s="1" t="s">
        <v>92</v>
      </c>
      <c r="W49" s="13">
        <v>15.37</v>
      </c>
      <c r="X49" s="13" t="s">
        <v>79</v>
      </c>
      <c r="Y49" s="13" t="s">
        <v>80</v>
      </c>
      <c r="Z49" s="3">
        <v>747.583243</v>
      </c>
      <c r="AA49" s="3">
        <v>3</v>
      </c>
      <c r="AB49" s="3">
        <f>-(747.583243823844-812.030075187969)</f>
        <v>64.446831364125</v>
      </c>
      <c r="AC49" s="4">
        <v>1019.87110633</v>
      </c>
      <c r="AD49" s="3">
        <v>3</v>
      </c>
      <c r="AE49" s="3">
        <f>-(1019.87110633727-1174.54350161117)</f>
        <v>154.6723952739</v>
      </c>
      <c r="AF49" s="5" t="s">
        <v>81</v>
      </c>
      <c r="AG49" s="14">
        <v>4.146981</v>
      </c>
      <c r="AH49" s="14">
        <v>3</v>
      </c>
      <c r="AI49" s="14">
        <v>0.11286089238846</v>
      </c>
      <c r="AJ49" s="14">
        <v>4.587926509</v>
      </c>
      <c r="AK49" s="14">
        <v>3</v>
      </c>
      <c r="AL49" s="14">
        <v>0.272965879265089</v>
      </c>
      <c r="AM49" s="7"/>
      <c r="AN49" s="15"/>
      <c r="AO49" s="15"/>
      <c r="AP49" s="7"/>
      <c r="AQ49" s="7"/>
      <c r="AR49" s="7"/>
      <c r="AS49" s="7"/>
      <c r="AT49" s="7"/>
      <c r="AU49" s="7"/>
      <c r="AV49" s="7"/>
      <c r="AW49" s="7"/>
      <c r="AX49" s="7"/>
      <c r="AY49" s="7"/>
      <c r="AZ49" s="8"/>
      <c r="BA49" s="1"/>
      <c r="BB49" s="7"/>
      <c r="BC49" s="9" t="s">
        <v>361</v>
      </c>
      <c r="BD49" s="9" t="s">
        <v>126</v>
      </c>
      <c r="BE49" s="10" t="str">
        <f t="shared" si="3"/>
        <v>subtropic</v>
      </c>
      <c r="BF49" s="11"/>
    </row>
    <row r="50" ht="42.75" spans="1:58">
      <c r="A50">
        <v>65</v>
      </c>
      <c r="B50" t="s">
        <v>351</v>
      </c>
      <c r="C50" t="s">
        <v>354</v>
      </c>
      <c r="D50">
        <v>2022</v>
      </c>
      <c r="E50" s="12" t="s">
        <v>355</v>
      </c>
      <c r="F50" t="s">
        <v>356</v>
      </c>
      <c r="G50">
        <v>-33.3856</v>
      </c>
      <c r="H50">
        <v>150.4865</v>
      </c>
      <c r="I50">
        <v>15</v>
      </c>
      <c r="J50" t="s">
        <v>357</v>
      </c>
      <c r="K50" t="s">
        <v>182</v>
      </c>
      <c r="L50" t="s">
        <v>358</v>
      </c>
      <c r="M50" t="s">
        <v>359</v>
      </c>
      <c r="N50" t="s">
        <v>267</v>
      </c>
      <c r="O50" t="s">
        <v>268</v>
      </c>
      <c r="P50" t="s">
        <v>360</v>
      </c>
      <c r="Q50" t="s">
        <v>74</v>
      </c>
      <c r="R50" t="s">
        <v>90</v>
      </c>
      <c r="S50" s="1" t="s">
        <v>92</v>
      </c>
      <c r="T50" s="1" t="s">
        <v>92</v>
      </c>
      <c r="U50" s="1" t="s">
        <v>92</v>
      </c>
      <c r="V50" s="1" t="s">
        <v>92</v>
      </c>
      <c r="W50" s="13">
        <v>15.37</v>
      </c>
      <c r="X50" s="13" t="s">
        <v>79</v>
      </c>
      <c r="Y50" s="13" t="s">
        <v>80</v>
      </c>
      <c r="Z50" s="3">
        <v>499.462943071</v>
      </c>
      <c r="AA50" s="3">
        <v>3</v>
      </c>
      <c r="AB50" s="3">
        <f>-(499.462943071964-552.631578947367)</f>
        <v>53.168635875403</v>
      </c>
      <c r="AC50" s="4">
        <v>571.96562835</v>
      </c>
      <c r="AD50" s="3">
        <v>3</v>
      </c>
      <c r="AE50" s="3">
        <f>-(571.965628356605-673.469387755101)</f>
        <v>101.503759398496</v>
      </c>
      <c r="AF50" s="5" t="s">
        <v>81</v>
      </c>
      <c r="AG50" s="14">
        <v>3.5170603</v>
      </c>
      <c r="AH50" s="14">
        <v>3</v>
      </c>
      <c r="AI50" s="14">
        <f>-(3.51706036745407-3.70603674540682)</f>
        <v>0.18897637795275</v>
      </c>
      <c r="AJ50" s="14">
        <v>3.88976377</v>
      </c>
      <c r="AK50" s="14">
        <v>3</v>
      </c>
      <c r="AL50" s="14">
        <f>-(3.88976377952755-4.12335958005249)</f>
        <v>0.23359580052494</v>
      </c>
      <c r="AM50" s="7"/>
      <c r="AN50" s="15"/>
      <c r="AO50" s="15"/>
      <c r="AP50" s="7"/>
      <c r="AQ50" s="7"/>
      <c r="AR50" s="7"/>
      <c r="AS50" s="7"/>
      <c r="AT50" s="7"/>
      <c r="AU50" s="7"/>
      <c r="AV50" s="7"/>
      <c r="AW50" s="7"/>
      <c r="AX50" s="7"/>
      <c r="AY50" s="7"/>
      <c r="AZ50" s="8"/>
      <c r="BA50" s="1"/>
      <c r="BB50" s="7"/>
      <c r="BC50" s="9" t="s">
        <v>361</v>
      </c>
      <c r="BD50" s="9" t="s">
        <v>126</v>
      </c>
      <c r="BE50" s="10" t="str">
        <f t="shared" si="3"/>
        <v>subtropic</v>
      </c>
      <c r="BF50" s="11"/>
    </row>
    <row r="51" ht="42.75" spans="1:58">
      <c r="A51">
        <v>66</v>
      </c>
      <c r="B51" t="s">
        <v>362</v>
      </c>
      <c r="C51" t="s">
        <v>365</v>
      </c>
      <c r="D51">
        <v>2022</v>
      </c>
      <c r="E51" s="12" t="s">
        <v>366</v>
      </c>
      <c r="F51" t="s">
        <v>276</v>
      </c>
      <c r="G51">
        <v>46.8772</v>
      </c>
      <c r="H51">
        <v>-96.7898</v>
      </c>
      <c r="I51">
        <v>25</v>
      </c>
      <c r="J51" t="s">
        <v>216</v>
      </c>
      <c r="K51" t="s">
        <v>182</v>
      </c>
      <c r="L51" t="s">
        <v>183</v>
      </c>
      <c r="M51" t="s">
        <v>277</v>
      </c>
      <c r="N51" t="s">
        <v>278</v>
      </c>
      <c r="O51" t="s">
        <v>277</v>
      </c>
      <c r="P51" t="s">
        <v>279</v>
      </c>
      <c r="Q51" t="s">
        <v>280</v>
      </c>
      <c r="R51" t="s">
        <v>191</v>
      </c>
      <c r="S51" s="1" t="s">
        <v>367</v>
      </c>
      <c r="T51" s="1" t="s">
        <v>191</v>
      </c>
      <c r="U51" s="1" t="s">
        <v>191</v>
      </c>
      <c r="V51" s="1" t="s">
        <v>191</v>
      </c>
      <c r="W51" s="13">
        <v>35.4</v>
      </c>
      <c r="X51" s="13" t="s">
        <v>79</v>
      </c>
      <c r="Y51" s="13" t="s">
        <v>80</v>
      </c>
      <c r="Z51" s="3"/>
      <c r="AA51" s="3"/>
      <c r="AB51" s="3"/>
      <c r="AC51" s="4"/>
      <c r="AD51" s="3"/>
      <c r="AE51" s="3"/>
      <c r="AF51" s="5"/>
      <c r="AG51" s="14"/>
      <c r="AH51" s="14"/>
      <c r="AI51" s="14"/>
      <c r="AJ51" s="14"/>
      <c r="AK51" s="14"/>
      <c r="AL51" s="14"/>
      <c r="AM51" s="7">
        <v>9</v>
      </c>
      <c r="AN51" s="15" t="s">
        <v>149</v>
      </c>
      <c r="AO51" s="15" t="s">
        <v>150</v>
      </c>
      <c r="AP51" s="7" t="s">
        <v>122</v>
      </c>
      <c r="AQ51" s="7">
        <v>0.664533</v>
      </c>
      <c r="AR51" s="7">
        <v>45</v>
      </c>
      <c r="AS51" s="7">
        <v>0.357163</v>
      </c>
      <c r="AT51" s="7">
        <v>1.160209</v>
      </c>
      <c r="AU51" s="7">
        <v>45</v>
      </c>
      <c r="AV51" s="7">
        <v>0.650225</v>
      </c>
      <c r="AW51" s="7">
        <v>1.698073</v>
      </c>
      <c r="AX51" s="7">
        <v>100</v>
      </c>
      <c r="AY51" s="7">
        <v>0.68389</v>
      </c>
      <c r="AZ51" s="8"/>
      <c r="BA51" s="1"/>
      <c r="BB51" s="7"/>
      <c r="BC51" s="9" t="s">
        <v>82</v>
      </c>
      <c r="BD51" s="9" t="s">
        <v>82</v>
      </c>
      <c r="BE51" s="10" t="str">
        <f t="shared" si="3"/>
        <v>temperate</v>
      </c>
      <c r="BF51" s="11"/>
    </row>
    <row r="52" ht="42.75" spans="1:58">
      <c r="A52">
        <v>67</v>
      </c>
      <c r="B52" t="s">
        <v>362</v>
      </c>
      <c r="C52" t="s">
        <v>365</v>
      </c>
      <c r="D52">
        <v>2022</v>
      </c>
      <c r="E52" s="12" t="s">
        <v>366</v>
      </c>
      <c r="F52" t="s">
        <v>276</v>
      </c>
      <c r="G52">
        <v>46.8772</v>
      </c>
      <c r="H52">
        <v>-96.7898</v>
      </c>
      <c r="I52">
        <v>25</v>
      </c>
      <c r="J52" t="s">
        <v>216</v>
      </c>
      <c r="K52" t="s">
        <v>182</v>
      </c>
      <c r="L52" t="s">
        <v>183</v>
      </c>
      <c r="M52" t="s">
        <v>277</v>
      </c>
      <c r="N52" t="s">
        <v>278</v>
      </c>
      <c r="O52" t="s">
        <v>277</v>
      </c>
      <c r="P52" t="s">
        <v>279</v>
      </c>
      <c r="Q52" t="s">
        <v>280</v>
      </c>
      <c r="R52" t="s">
        <v>191</v>
      </c>
      <c r="S52" s="1" t="s">
        <v>369</v>
      </c>
      <c r="T52" s="1" t="s">
        <v>191</v>
      </c>
      <c r="U52" s="1" t="s">
        <v>191</v>
      </c>
      <c r="V52" s="1" t="s">
        <v>191</v>
      </c>
      <c r="W52" s="13">
        <v>35.4</v>
      </c>
      <c r="X52" s="13" t="s">
        <v>79</v>
      </c>
      <c r="Y52" s="13" t="s">
        <v>80</v>
      </c>
      <c r="Z52" s="3"/>
      <c r="AA52" s="3"/>
      <c r="AB52" s="3"/>
      <c r="AC52" s="4"/>
      <c r="AD52" s="3"/>
      <c r="AE52" s="3"/>
      <c r="AF52" s="5"/>
      <c r="AG52" s="14"/>
      <c r="AH52" s="14"/>
      <c r="AI52" s="14"/>
      <c r="AJ52" s="14"/>
      <c r="AK52" s="14"/>
      <c r="AL52" s="14"/>
      <c r="AM52" s="7">
        <v>34</v>
      </c>
      <c r="AN52" s="15" t="s">
        <v>149</v>
      </c>
      <c r="AO52" s="15" t="s">
        <v>150</v>
      </c>
      <c r="AP52" s="7" t="s">
        <v>122</v>
      </c>
      <c r="AQ52" s="7">
        <v>0.611064</v>
      </c>
      <c r="AR52" s="7">
        <v>45</v>
      </c>
      <c r="AS52" s="7">
        <v>0.375942</v>
      </c>
      <c r="AT52" s="7">
        <v>0.764626</v>
      </c>
      <c r="AU52" s="7">
        <v>45</v>
      </c>
      <c r="AV52" s="7">
        <v>0.428332</v>
      </c>
      <c r="AW52" s="7">
        <v>0.822055</v>
      </c>
      <c r="AX52" s="7">
        <v>100</v>
      </c>
      <c r="AY52" s="7">
        <v>0.355481</v>
      </c>
      <c r="AZ52" s="8"/>
      <c r="BA52" s="1"/>
      <c r="BB52" s="7"/>
      <c r="BC52" s="9" t="s">
        <v>82</v>
      </c>
      <c r="BD52" s="9" t="s">
        <v>82</v>
      </c>
      <c r="BE52" s="10" t="str">
        <f t="shared" si="3"/>
        <v>temperate</v>
      </c>
      <c r="BF52" s="11"/>
    </row>
    <row r="53" ht="42.75" spans="1:58">
      <c r="A53">
        <v>68</v>
      </c>
      <c r="B53" t="s">
        <v>370</v>
      </c>
      <c r="C53" t="s">
        <v>373</v>
      </c>
      <c r="D53">
        <v>2022</v>
      </c>
      <c r="E53" s="12" t="s">
        <v>374</v>
      </c>
      <c r="F53" t="s">
        <v>237</v>
      </c>
      <c r="G53">
        <v>50.0028</v>
      </c>
      <c r="H53">
        <v>22.0279</v>
      </c>
      <c r="I53">
        <v>26</v>
      </c>
      <c r="J53" t="s">
        <v>181</v>
      </c>
      <c r="K53" t="s">
        <v>182</v>
      </c>
      <c r="L53" t="s">
        <v>183</v>
      </c>
      <c r="M53" t="s">
        <v>147</v>
      </c>
      <c r="N53" t="s">
        <v>72</v>
      </c>
      <c r="O53" t="s">
        <v>147</v>
      </c>
      <c r="P53" t="s">
        <v>148</v>
      </c>
      <c r="Q53" t="s">
        <v>74</v>
      </c>
      <c r="R53" t="s">
        <v>75</v>
      </c>
      <c r="S53" s="1" t="s">
        <v>172</v>
      </c>
      <c r="T53" s="1" t="s">
        <v>172</v>
      </c>
      <c r="U53" s="1" t="s">
        <v>286</v>
      </c>
      <c r="V53" s="1" t="s">
        <v>287</v>
      </c>
      <c r="W53" s="13">
        <v>2</v>
      </c>
      <c r="X53" s="13" t="s">
        <v>192</v>
      </c>
      <c r="Y53" s="13" t="s">
        <v>80</v>
      </c>
      <c r="Z53" s="3">
        <v>33.955</v>
      </c>
      <c r="AA53" s="3">
        <v>10</v>
      </c>
      <c r="AB53" s="3">
        <f>(34.654683065279-33.3112582781456)/1.35</f>
        <v>0.995129471950667</v>
      </c>
      <c r="AC53" s="4">
        <v>17.833</v>
      </c>
      <c r="AD53" s="3">
        <v>10</v>
      </c>
      <c r="AE53" s="3">
        <f>(19.3850520340586-16.3008514664143)/1.35</f>
        <v>2.28459301306985</v>
      </c>
      <c r="AF53" s="5" t="s">
        <v>81</v>
      </c>
      <c r="AG53" s="14">
        <v>2.1949526</v>
      </c>
      <c r="AH53" s="14">
        <v>10</v>
      </c>
      <c r="AI53" s="14">
        <f>(2.37539432176656-2.00694006309148)/1.35</f>
        <v>0.272929080500059</v>
      </c>
      <c r="AJ53" s="14">
        <v>1.5754</v>
      </c>
      <c r="AK53" s="14">
        <v>10</v>
      </c>
      <c r="AL53" s="6">
        <f>(1.80883280757097-1.34447949526813)/1.35</f>
        <v>0.343965416520622</v>
      </c>
      <c r="AM53" s="7"/>
      <c r="AN53" s="15"/>
      <c r="AO53" s="15"/>
      <c r="AP53" s="7"/>
      <c r="AQ53" s="7"/>
      <c r="AR53" s="7"/>
      <c r="AS53" s="7"/>
      <c r="AT53" s="7"/>
      <c r="AU53" s="7"/>
      <c r="AV53" s="7"/>
      <c r="AW53" s="7"/>
      <c r="AX53" s="7"/>
      <c r="AY53" s="7"/>
      <c r="AZ53" s="8"/>
      <c r="BA53" s="1"/>
      <c r="BB53" s="7"/>
      <c r="BC53" s="9" t="s">
        <v>82</v>
      </c>
      <c r="BD53" s="9" t="s">
        <v>82</v>
      </c>
      <c r="BE53" s="10" t="str">
        <f t="shared" si="3"/>
        <v>temperate</v>
      </c>
      <c r="BF53" s="11"/>
    </row>
    <row r="54" ht="28.5" spans="1:58">
      <c r="A54">
        <v>69</v>
      </c>
      <c r="B54" t="s">
        <v>375</v>
      </c>
      <c r="C54" t="s">
        <v>378</v>
      </c>
      <c r="D54">
        <v>2022</v>
      </c>
      <c r="E54" s="12" t="s">
        <v>379</v>
      </c>
      <c r="F54" t="s">
        <v>68</v>
      </c>
      <c r="G54">
        <v>28</v>
      </c>
      <c r="H54">
        <v>113</v>
      </c>
      <c r="I54">
        <v>14</v>
      </c>
      <c r="J54" t="s">
        <v>89</v>
      </c>
      <c r="K54" t="s">
        <v>70</v>
      </c>
      <c r="L54" t="s">
        <v>71</v>
      </c>
      <c r="M54" t="s">
        <v>72</v>
      </c>
      <c r="N54" t="s">
        <v>72</v>
      </c>
      <c r="O54" t="s">
        <v>72</v>
      </c>
      <c r="P54" t="s">
        <v>73</v>
      </c>
      <c r="Q54" t="s">
        <v>74</v>
      </c>
      <c r="R54" t="s">
        <v>90</v>
      </c>
      <c r="S54" s="1" t="s">
        <v>380</v>
      </c>
      <c r="T54" s="1" t="s">
        <v>92</v>
      </c>
      <c r="U54" s="1" t="s">
        <v>92</v>
      </c>
      <c r="V54" s="1" t="s">
        <v>92</v>
      </c>
      <c r="W54" s="13">
        <v>256</v>
      </c>
      <c r="X54" s="13" t="s">
        <v>93</v>
      </c>
      <c r="Y54" s="13" t="s">
        <v>94</v>
      </c>
      <c r="Z54" s="3">
        <v>1069.196</v>
      </c>
      <c r="AA54" s="3">
        <v>15</v>
      </c>
      <c r="AB54" s="3">
        <v>211.031</v>
      </c>
      <c r="AC54" s="4">
        <v>796.174</v>
      </c>
      <c r="AD54" s="3">
        <v>15</v>
      </c>
      <c r="AE54" s="3">
        <v>144.389</v>
      </c>
      <c r="AF54" s="5" t="s">
        <v>81</v>
      </c>
      <c r="AG54" s="14">
        <v>5.618</v>
      </c>
      <c r="AH54" s="14">
        <v>15</v>
      </c>
      <c r="AI54" s="14">
        <v>0.232</v>
      </c>
      <c r="AJ54" s="14">
        <v>4.763</v>
      </c>
      <c r="AK54" s="14">
        <v>15</v>
      </c>
      <c r="AL54" s="14">
        <v>0.418</v>
      </c>
      <c r="AM54" s="7">
        <v>10</v>
      </c>
      <c r="AN54" s="15" t="s">
        <v>381</v>
      </c>
      <c r="AO54" s="15" t="s">
        <v>382</v>
      </c>
      <c r="AP54" s="7" t="s">
        <v>122</v>
      </c>
      <c r="AQ54" s="7">
        <v>0.402016</v>
      </c>
      <c r="AR54" s="7">
        <v>120</v>
      </c>
      <c r="AS54" s="7">
        <v>0.196534</v>
      </c>
      <c r="AT54" s="7">
        <v>0.203381</v>
      </c>
      <c r="AU54" s="7">
        <v>91</v>
      </c>
      <c r="AV54" s="7">
        <v>0.119445</v>
      </c>
      <c r="AW54" s="7">
        <v>0.339215</v>
      </c>
      <c r="AX54" s="7">
        <v>224</v>
      </c>
      <c r="AY54" s="7">
        <v>0.157746</v>
      </c>
      <c r="AZ54" s="8"/>
      <c r="BA54" s="1"/>
      <c r="BB54" s="7" t="s">
        <v>101</v>
      </c>
      <c r="BC54" s="9" t="s">
        <v>82</v>
      </c>
      <c r="BD54" s="9" t="s">
        <v>82</v>
      </c>
      <c r="BE54" s="10" t="str">
        <f t="shared" si="3"/>
        <v>subtropic</v>
      </c>
      <c r="BF54" s="11" t="s">
        <v>1026</v>
      </c>
    </row>
    <row r="55" ht="42.75" spans="1:58">
      <c r="A55">
        <v>70</v>
      </c>
      <c r="B55" t="s">
        <v>383</v>
      </c>
      <c r="C55" t="s">
        <v>386</v>
      </c>
      <c r="D55">
        <v>2022</v>
      </c>
      <c r="E55" s="12" t="s">
        <v>387</v>
      </c>
      <c r="F55" t="s">
        <v>145</v>
      </c>
      <c r="G55">
        <v>-20.4703</v>
      </c>
      <c r="H55">
        <v>-54.6236</v>
      </c>
      <c r="I55">
        <v>3</v>
      </c>
      <c r="J55" t="s">
        <v>388</v>
      </c>
      <c r="K55" t="s">
        <v>70</v>
      </c>
      <c r="L55" t="s">
        <v>146</v>
      </c>
      <c r="M55" t="s">
        <v>277</v>
      </c>
      <c r="N55" t="s">
        <v>278</v>
      </c>
      <c r="O55" t="s">
        <v>277</v>
      </c>
      <c r="P55" t="s">
        <v>279</v>
      </c>
      <c r="Q55" t="s">
        <v>280</v>
      </c>
      <c r="R55" t="s">
        <v>75</v>
      </c>
      <c r="S55" s="1" t="s">
        <v>389</v>
      </c>
      <c r="T55" s="1" t="s">
        <v>284</v>
      </c>
      <c r="U55" s="1" t="s">
        <v>281</v>
      </c>
      <c r="V55" s="1" t="s">
        <v>390</v>
      </c>
      <c r="W55" s="13">
        <v>27</v>
      </c>
      <c r="X55" s="13" t="s">
        <v>79</v>
      </c>
      <c r="Y55" s="13" t="s">
        <v>80</v>
      </c>
      <c r="Z55" s="3">
        <v>7.657</v>
      </c>
      <c r="AA55" s="3">
        <v>6</v>
      </c>
      <c r="AB55" s="3">
        <v>2.5</v>
      </c>
      <c r="AC55" s="4">
        <v>3.405</v>
      </c>
      <c r="AD55" s="3">
        <v>5</v>
      </c>
      <c r="AE55" s="3">
        <v>1.518</v>
      </c>
      <c r="AF55" s="5"/>
      <c r="AG55" s="14"/>
      <c r="AH55" s="14"/>
      <c r="AI55" s="14"/>
      <c r="AJ55" s="14"/>
      <c r="AK55" s="14"/>
      <c r="AL55" s="14"/>
      <c r="AM55" s="7"/>
      <c r="AN55" s="15"/>
      <c r="AO55" s="15"/>
      <c r="AP55" s="7"/>
      <c r="AQ55" s="7"/>
      <c r="AR55" s="7"/>
      <c r="AS55" s="7"/>
      <c r="AT55" s="7"/>
      <c r="AU55" s="7"/>
      <c r="AV55" s="7"/>
      <c r="AW55" s="7"/>
      <c r="AX55" s="7"/>
      <c r="AY55" s="7"/>
      <c r="AZ55" s="8"/>
      <c r="BA55" s="1"/>
      <c r="BB55" s="7"/>
      <c r="BC55" s="9" t="s">
        <v>391</v>
      </c>
      <c r="BD55" s="9" t="s">
        <v>126</v>
      </c>
      <c r="BE55" s="10" t="str">
        <f t="shared" si="3"/>
        <v>tropic</v>
      </c>
      <c r="BF55" s="11"/>
    </row>
    <row r="56" spans="1:58">
      <c r="A56">
        <v>71</v>
      </c>
      <c r="B56" t="s">
        <v>392</v>
      </c>
      <c r="C56" t="s">
        <v>395</v>
      </c>
      <c r="D56">
        <v>2022</v>
      </c>
      <c r="E56" s="12" t="s">
        <v>396</v>
      </c>
      <c r="F56" t="s">
        <v>68</v>
      </c>
      <c r="G56">
        <v>29.83</v>
      </c>
      <c r="H56">
        <v>118.5</v>
      </c>
      <c r="I56">
        <v>14</v>
      </c>
      <c r="J56" t="s">
        <v>89</v>
      </c>
      <c r="K56" t="s">
        <v>70</v>
      </c>
      <c r="L56" t="s">
        <v>71</v>
      </c>
      <c r="M56" t="s">
        <v>72</v>
      </c>
      <c r="N56" t="s">
        <v>72</v>
      </c>
      <c r="O56" t="s">
        <v>72</v>
      </c>
      <c r="P56" t="s">
        <v>73</v>
      </c>
      <c r="Q56" t="s">
        <v>74</v>
      </c>
      <c r="R56" t="s">
        <v>75</v>
      </c>
      <c r="S56" s="1" t="s">
        <v>117</v>
      </c>
      <c r="T56" s="1" t="s">
        <v>117</v>
      </c>
      <c r="U56" s="1" t="s">
        <v>117</v>
      </c>
      <c r="V56" s="1" t="s">
        <v>118</v>
      </c>
      <c r="W56" s="13">
        <v>112</v>
      </c>
      <c r="X56" s="13" t="s">
        <v>174</v>
      </c>
      <c r="Y56" s="13" t="s">
        <v>94</v>
      </c>
      <c r="Z56" s="3">
        <v>8.483</v>
      </c>
      <c r="AA56" s="3">
        <v>13</v>
      </c>
      <c r="AB56" s="3">
        <v>0.288</v>
      </c>
      <c r="AC56" s="3">
        <v>6.211</v>
      </c>
      <c r="AD56" s="3">
        <v>13</v>
      </c>
      <c r="AE56" s="3">
        <v>0.396</v>
      </c>
      <c r="AF56" s="5"/>
      <c r="AG56" s="14"/>
      <c r="AH56" s="14"/>
      <c r="AI56" s="14"/>
      <c r="AJ56" s="14"/>
      <c r="AK56" s="14"/>
      <c r="AL56" s="14"/>
      <c r="AM56" s="7"/>
      <c r="AN56" s="15"/>
      <c r="AO56" s="15"/>
      <c r="AP56" s="7"/>
      <c r="AQ56" s="7"/>
      <c r="AR56" s="7"/>
      <c r="AS56" s="7"/>
      <c r="AT56" s="7"/>
      <c r="AU56" s="7"/>
      <c r="AV56" s="7"/>
      <c r="AW56" s="7"/>
      <c r="AX56" s="7"/>
      <c r="AY56" s="7"/>
      <c r="AZ56" s="8"/>
      <c r="BA56" s="1"/>
      <c r="BB56" s="7"/>
      <c r="BC56" s="9" t="s">
        <v>82</v>
      </c>
      <c r="BD56" s="9" t="s">
        <v>82</v>
      </c>
      <c r="BE56" s="10" t="str">
        <f t="shared" si="3"/>
        <v>subtropic</v>
      </c>
      <c r="BF56" s="11" t="s">
        <v>1028</v>
      </c>
    </row>
    <row r="57" ht="42.75" spans="1:58">
      <c r="A57">
        <v>72</v>
      </c>
      <c r="B57" t="s">
        <v>397</v>
      </c>
      <c r="C57" t="s">
        <v>400</v>
      </c>
      <c r="D57">
        <v>2022</v>
      </c>
      <c r="E57" s="12" t="s">
        <v>401</v>
      </c>
      <c r="F57" t="s">
        <v>68</v>
      </c>
      <c r="G57">
        <v>24.4795</v>
      </c>
      <c r="H57">
        <v>118.0895</v>
      </c>
      <c r="I57">
        <v>14</v>
      </c>
      <c r="J57" t="s">
        <v>89</v>
      </c>
      <c r="K57" t="s">
        <v>70</v>
      </c>
      <c r="L57" t="s">
        <v>71</v>
      </c>
      <c r="M57" t="s">
        <v>72</v>
      </c>
      <c r="N57" t="s">
        <v>72</v>
      </c>
      <c r="O57" t="s">
        <v>72</v>
      </c>
      <c r="P57" t="s">
        <v>73</v>
      </c>
      <c r="Q57" t="s">
        <v>74</v>
      </c>
      <c r="R57" t="s">
        <v>90</v>
      </c>
      <c r="S57" s="1" t="s">
        <v>342</v>
      </c>
      <c r="T57" s="1" t="s">
        <v>240</v>
      </c>
      <c r="U57" s="1" t="s">
        <v>241</v>
      </c>
      <c r="V57" s="1" t="s">
        <v>241</v>
      </c>
      <c r="W57" s="13">
        <v>25</v>
      </c>
      <c r="X57" s="13" t="s">
        <v>79</v>
      </c>
      <c r="Y57" s="13" t="s">
        <v>80</v>
      </c>
      <c r="Z57" s="3">
        <v>46.804</v>
      </c>
      <c r="AA57" s="3">
        <v>48</v>
      </c>
      <c r="AB57" s="3">
        <v>11.6115</v>
      </c>
      <c r="AC57" s="4">
        <v>27.713</v>
      </c>
      <c r="AD57" s="3">
        <v>24</v>
      </c>
      <c r="AE57" s="3">
        <v>12.31587</v>
      </c>
      <c r="AF57" s="5" t="s">
        <v>81</v>
      </c>
      <c r="AG57" s="14">
        <v>2.437</v>
      </c>
      <c r="AH57" s="14">
        <v>48</v>
      </c>
      <c r="AI57" s="14">
        <v>0.85083</v>
      </c>
      <c r="AJ57" s="14">
        <v>1.86</v>
      </c>
      <c r="AK57" s="14">
        <v>24</v>
      </c>
      <c r="AL57" s="14">
        <v>0.515682</v>
      </c>
      <c r="AM57" s="7">
        <v>11</v>
      </c>
      <c r="AN57" s="15" t="s">
        <v>402</v>
      </c>
      <c r="AO57" s="15" t="s">
        <v>403</v>
      </c>
      <c r="AP57" s="7" t="s">
        <v>122</v>
      </c>
      <c r="AQ57" s="7">
        <v>0.802259</v>
      </c>
      <c r="AR57" s="7">
        <v>276</v>
      </c>
      <c r="AS57" s="7">
        <v>0.41838</v>
      </c>
      <c r="AT57" s="7">
        <v>0.454322</v>
      </c>
      <c r="AU57" s="7">
        <v>1128</v>
      </c>
      <c r="AV57" s="7">
        <v>0.252698</v>
      </c>
      <c r="AW57" s="7">
        <v>1.487548</v>
      </c>
      <c r="AX57" s="7">
        <v>1152</v>
      </c>
      <c r="AY57" s="7">
        <v>0.412603</v>
      </c>
      <c r="AZ57" s="8"/>
      <c r="BA57" s="1"/>
      <c r="BB57" s="7"/>
      <c r="BC57" s="9" t="s">
        <v>82</v>
      </c>
      <c r="BD57" s="9" t="s">
        <v>82</v>
      </c>
      <c r="BE57" s="10" t="str">
        <f t="shared" si="3"/>
        <v>subtropic</v>
      </c>
      <c r="BF57" s="11"/>
    </row>
    <row r="58" ht="42.75" spans="1:58">
      <c r="A58">
        <v>73</v>
      </c>
      <c r="B58" t="s">
        <v>404</v>
      </c>
      <c r="C58" t="s">
        <v>407</v>
      </c>
      <c r="D58">
        <v>2022</v>
      </c>
      <c r="E58" s="12" t="s">
        <v>408</v>
      </c>
      <c r="F58" t="s">
        <v>237</v>
      </c>
      <c r="G58">
        <v>53.43</v>
      </c>
      <c r="H58">
        <v>15.25</v>
      </c>
      <c r="I58">
        <v>26</v>
      </c>
      <c r="J58" t="s">
        <v>181</v>
      </c>
      <c r="K58" t="s">
        <v>182</v>
      </c>
      <c r="L58" t="s">
        <v>183</v>
      </c>
      <c r="M58" t="s">
        <v>72</v>
      </c>
      <c r="N58" t="s">
        <v>72</v>
      </c>
      <c r="O58" t="s">
        <v>72</v>
      </c>
      <c r="P58" t="s">
        <v>73</v>
      </c>
      <c r="Q58" t="s">
        <v>74</v>
      </c>
      <c r="R58" t="s">
        <v>75</v>
      </c>
      <c r="S58" s="1" t="s">
        <v>172</v>
      </c>
      <c r="T58" s="1" t="s">
        <v>172</v>
      </c>
      <c r="U58" s="1" t="s">
        <v>172</v>
      </c>
      <c r="V58" s="1" t="s">
        <v>173</v>
      </c>
      <c r="W58" s="13">
        <v>30</v>
      </c>
      <c r="X58" s="13" t="s">
        <v>79</v>
      </c>
      <c r="Y58" s="13" t="s">
        <v>80</v>
      </c>
      <c r="Z58" s="3">
        <v>2.9103</v>
      </c>
      <c r="AA58" s="3">
        <v>216</v>
      </c>
      <c r="AB58" s="3">
        <v>2.396</v>
      </c>
      <c r="AC58" s="4">
        <v>6.116</v>
      </c>
      <c r="AD58" s="3">
        <v>32</v>
      </c>
      <c r="AE58" s="3">
        <v>5.916</v>
      </c>
      <c r="AF58" s="5" t="s">
        <v>81</v>
      </c>
      <c r="AG58" s="14">
        <v>1.849</v>
      </c>
      <c r="AH58" s="14">
        <v>216</v>
      </c>
      <c r="AI58" s="22">
        <v>1.65925925925926</v>
      </c>
      <c r="AJ58" s="14">
        <v>2.809</v>
      </c>
      <c r="AK58" s="14">
        <v>32</v>
      </c>
      <c r="AL58" s="14">
        <v>1.86840740740741</v>
      </c>
      <c r="AM58" s="7"/>
      <c r="AN58" s="15"/>
      <c r="AO58" s="15"/>
      <c r="AP58" s="7"/>
      <c r="AQ58" s="7"/>
      <c r="AR58" s="7"/>
      <c r="AS58" s="7"/>
      <c r="AT58" s="7"/>
      <c r="AU58" s="7"/>
      <c r="AV58" s="7"/>
      <c r="AW58" s="7"/>
      <c r="AX58" s="7"/>
      <c r="AY58" s="7"/>
      <c r="AZ58" s="8" t="s">
        <v>409</v>
      </c>
      <c r="BA58" s="1"/>
      <c r="BB58" s="7"/>
      <c r="BC58" s="9" t="s">
        <v>82</v>
      </c>
      <c r="BD58" s="9" t="s">
        <v>82</v>
      </c>
      <c r="BE58" s="10" t="str">
        <f t="shared" si="3"/>
        <v>temperate</v>
      </c>
      <c r="BF58" s="11"/>
    </row>
    <row r="59" ht="42.75" spans="1:58">
      <c r="A59">
        <v>74</v>
      </c>
      <c r="B59" t="s">
        <v>404</v>
      </c>
      <c r="C59" t="s">
        <v>407</v>
      </c>
      <c r="D59">
        <v>2022</v>
      </c>
      <c r="E59" s="12" t="s">
        <v>408</v>
      </c>
      <c r="F59" t="s">
        <v>237</v>
      </c>
      <c r="G59">
        <v>53.43</v>
      </c>
      <c r="H59">
        <v>15.25</v>
      </c>
      <c r="I59">
        <v>26</v>
      </c>
      <c r="J59" t="s">
        <v>181</v>
      </c>
      <c r="K59" t="s">
        <v>182</v>
      </c>
      <c r="L59" t="s">
        <v>183</v>
      </c>
      <c r="M59" t="s">
        <v>72</v>
      </c>
      <c r="N59" t="s">
        <v>72</v>
      </c>
      <c r="O59" t="s">
        <v>72</v>
      </c>
      <c r="P59" t="s">
        <v>73</v>
      </c>
      <c r="Q59" t="s">
        <v>74</v>
      </c>
      <c r="R59" t="s">
        <v>75</v>
      </c>
      <c r="S59" s="1" t="s">
        <v>172</v>
      </c>
      <c r="T59" s="1" t="s">
        <v>172</v>
      </c>
      <c r="U59" s="1" t="s">
        <v>172</v>
      </c>
      <c r="V59" s="1" t="s">
        <v>173</v>
      </c>
      <c r="W59" s="13">
        <v>30</v>
      </c>
      <c r="X59" s="13" t="s">
        <v>79</v>
      </c>
      <c r="Y59" s="13" t="s">
        <v>80</v>
      </c>
      <c r="Z59" s="3">
        <v>2.853</v>
      </c>
      <c r="AA59" s="3">
        <v>135</v>
      </c>
      <c r="AB59" s="3">
        <v>3.181</v>
      </c>
      <c r="AC59" s="4">
        <v>1.25</v>
      </c>
      <c r="AD59" s="3">
        <v>28</v>
      </c>
      <c r="AE59" s="3">
        <v>1.6115</v>
      </c>
      <c r="AF59" s="5" t="s">
        <v>81</v>
      </c>
      <c r="AG59" s="14">
        <v>2.075</v>
      </c>
      <c r="AH59" s="14">
        <v>135</v>
      </c>
      <c r="AI59" s="23">
        <v>1.18866666666667</v>
      </c>
      <c r="AJ59" s="14">
        <v>0.682</v>
      </c>
      <c r="AK59" s="14">
        <v>28</v>
      </c>
      <c r="AL59" s="6">
        <v>1.53376906318083</v>
      </c>
      <c r="AM59" s="7"/>
      <c r="AN59" s="15"/>
      <c r="AO59" s="15"/>
      <c r="AP59" s="7"/>
      <c r="AQ59" s="7"/>
      <c r="AR59" s="7"/>
      <c r="AS59" s="7"/>
      <c r="AT59" s="7"/>
      <c r="AU59" s="7"/>
      <c r="AV59" s="7"/>
      <c r="AW59" s="7"/>
      <c r="AX59" s="7"/>
      <c r="AY59" s="7"/>
      <c r="AZ59" s="8" t="s">
        <v>411</v>
      </c>
      <c r="BA59" s="1"/>
      <c r="BB59" s="7"/>
      <c r="BC59" s="9" t="s">
        <v>82</v>
      </c>
      <c r="BD59" s="9" t="s">
        <v>82</v>
      </c>
      <c r="BE59" s="10" t="str">
        <f t="shared" si="3"/>
        <v>temperate</v>
      </c>
      <c r="BF59" s="11"/>
    </row>
    <row r="60" ht="42.75" spans="1:58">
      <c r="A60">
        <v>75</v>
      </c>
      <c r="B60" t="s">
        <v>412</v>
      </c>
      <c r="C60" t="s">
        <v>415</v>
      </c>
      <c r="D60">
        <v>2022</v>
      </c>
      <c r="E60" s="12" t="s">
        <v>416</v>
      </c>
      <c r="F60" t="s">
        <v>68</v>
      </c>
      <c r="G60">
        <v>22.5429</v>
      </c>
      <c r="H60">
        <v>114.0596</v>
      </c>
      <c r="I60">
        <v>11</v>
      </c>
      <c r="J60" t="s">
        <v>111</v>
      </c>
      <c r="K60" t="s">
        <v>70</v>
      </c>
      <c r="L60" t="s">
        <v>71</v>
      </c>
      <c r="M60" t="s">
        <v>72</v>
      </c>
      <c r="N60" t="s">
        <v>72</v>
      </c>
      <c r="O60" t="s">
        <v>72</v>
      </c>
      <c r="P60" t="s">
        <v>73</v>
      </c>
      <c r="Q60" t="s">
        <v>74</v>
      </c>
      <c r="R60" t="s">
        <v>75</v>
      </c>
      <c r="S60" s="1" t="s">
        <v>172</v>
      </c>
      <c r="T60" s="1" t="s">
        <v>172</v>
      </c>
      <c r="U60" s="1" t="s">
        <v>172</v>
      </c>
      <c r="V60" s="1" t="s">
        <v>173</v>
      </c>
      <c r="W60" s="13">
        <v>77</v>
      </c>
      <c r="X60" s="13" t="s">
        <v>119</v>
      </c>
      <c r="Y60" s="13" t="s">
        <v>80</v>
      </c>
      <c r="Z60" s="3">
        <v>11.79</v>
      </c>
      <c r="AA60" s="3">
        <v>19</v>
      </c>
      <c r="AB60" s="4">
        <v>5.77</v>
      </c>
      <c r="AC60" s="4">
        <v>5.83</v>
      </c>
      <c r="AD60" s="3">
        <v>24</v>
      </c>
      <c r="AE60" s="3">
        <v>2.3</v>
      </c>
      <c r="AF60" s="5"/>
      <c r="AG60" s="14"/>
      <c r="AH60" s="14"/>
      <c r="AI60" s="14"/>
      <c r="AJ60" s="14"/>
      <c r="AK60" s="14"/>
      <c r="AL60" s="14"/>
      <c r="AM60" s="7"/>
      <c r="AN60" s="15"/>
      <c r="AO60" s="15"/>
      <c r="AP60" s="7"/>
      <c r="AQ60" s="7"/>
      <c r="AR60" s="7"/>
      <c r="AS60" s="7"/>
      <c r="AT60" s="7"/>
      <c r="AU60" s="7"/>
      <c r="AV60" s="7"/>
      <c r="AW60" s="7"/>
      <c r="AX60" s="7"/>
      <c r="AY60" s="7"/>
      <c r="AZ60" s="8" t="s">
        <v>123</v>
      </c>
      <c r="BA60" s="1"/>
      <c r="BB60" s="7"/>
      <c r="BC60" s="9" t="s">
        <v>125</v>
      </c>
      <c r="BD60" s="9" t="s">
        <v>126</v>
      </c>
      <c r="BE60" s="10" t="str">
        <f t="shared" si="3"/>
        <v>tropic</v>
      </c>
      <c r="BF60" s="11" t="s">
        <v>1028</v>
      </c>
    </row>
    <row r="61" ht="28.5" spans="1:58">
      <c r="A61">
        <v>77</v>
      </c>
      <c r="B61" t="s">
        <v>417</v>
      </c>
      <c r="C61" t="s">
        <v>420</v>
      </c>
      <c r="D61">
        <v>2022</v>
      </c>
      <c r="E61" s="17" t="s">
        <v>421</v>
      </c>
      <c r="F61" t="s">
        <v>422</v>
      </c>
      <c r="G61">
        <v>-0.1839</v>
      </c>
      <c r="H61">
        <v>-78.4802</v>
      </c>
      <c r="I61">
        <v>15</v>
      </c>
      <c r="J61" t="s">
        <v>357</v>
      </c>
      <c r="K61" t="s">
        <v>70</v>
      </c>
      <c r="L61" t="s">
        <v>146</v>
      </c>
      <c r="M61" t="s">
        <v>72</v>
      </c>
      <c r="N61" t="s">
        <v>72</v>
      </c>
      <c r="O61" t="s">
        <v>72</v>
      </c>
      <c r="P61" t="s">
        <v>73</v>
      </c>
      <c r="Q61" t="s">
        <v>74</v>
      </c>
      <c r="R61" t="s">
        <v>75</v>
      </c>
      <c r="S61" s="1" t="s">
        <v>423</v>
      </c>
      <c r="T61" s="1" t="s">
        <v>172</v>
      </c>
      <c r="U61" s="1" t="s">
        <v>324</v>
      </c>
      <c r="V61" s="1" t="s">
        <v>325</v>
      </c>
      <c r="W61" s="13">
        <v>47</v>
      </c>
      <c r="X61" s="13" t="s">
        <v>79</v>
      </c>
      <c r="Y61" s="13" t="s">
        <v>80</v>
      </c>
      <c r="Z61" s="3">
        <v>22.054</v>
      </c>
      <c r="AA61" s="3">
        <v>4</v>
      </c>
      <c r="AB61" s="3">
        <v>7.25</v>
      </c>
      <c r="AC61" s="4">
        <v>5.256</v>
      </c>
      <c r="AD61" s="3">
        <v>5</v>
      </c>
      <c r="AE61" s="3">
        <v>0.337</v>
      </c>
      <c r="AF61" s="5" t="s">
        <v>81</v>
      </c>
      <c r="AG61" s="14">
        <v>18.491</v>
      </c>
      <c r="AH61" s="14">
        <v>4</v>
      </c>
      <c r="AI61" s="14">
        <v>6.096</v>
      </c>
      <c r="AJ61" s="14">
        <v>4.485</v>
      </c>
      <c r="AK61" s="14">
        <v>5</v>
      </c>
      <c r="AL61" s="14">
        <v>0.297</v>
      </c>
      <c r="AM61" s="7"/>
      <c r="AN61" s="15"/>
      <c r="AO61" s="15"/>
      <c r="AP61" s="7"/>
      <c r="AQ61" s="7"/>
      <c r="AR61" s="7"/>
      <c r="AS61" s="7"/>
      <c r="AT61" s="7"/>
      <c r="AU61" s="7"/>
      <c r="AV61" s="7"/>
      <c r="AW61" s="7"/>
      <c r="AX61" s="7"/>
      <c r="AY61" s="7"/>
      <c r="AZ61" s="8"/>
      <c r="BA61" s="1"/>
      <c r="BB61" s="7"/>
      <c r="BC61" s="9" t="s">
        <v>424</v>
      </c>
      <c r="BD61" s="9" t="s">
        <v>126</v>
      </c>
      <c r="BE61" s="10" t="str">
        <f t="shared" ref="BE61:BE113" si="4">IF(ABS(G61)&lt;23.5,"tropic",IF(ABS(G61)&lt;40,"subtropic",IF(ABS(G61)&lt;60,"temperate","arctic")))</f>
        <v>tropic</v>
      </c>
      <c r="BF61" s="11"/>
    </row>
    <row r="62" ht="42.75" spans="1:58">
      <c r="A62">
        <v>78</v>
      </c>
      <c r="B62" t="s">
        <v>425</v>
      </c>
      <c r="C62" t="s">
        <v>428</v>
      </c>
      <c r="D62">
        <v>2022</v>
      </c>
      <c r="E62" s="12" t="s">
        <v>429</v>
      </c>
      <c r="F62" t="s">
        <v>68</v>
      </c>
      <c r="G62">
        <v>36.6518</v>
      </c>
      <c r="H62">
        <v>117.1201</v>
      </c>
      <c r="I62">
        <v>21</v>
      </c>
      <c r="J62" t="s">
        <v>69</v>
      </c>
      <c r="K62" t="s">
        <v>70</v>
      </c>
      <c r="L62" t="s">
        <v>71</v>
      </c>
      <c r="M62" t="s">
        <v>72</v>
      </c>
      <c r="N62" t="s">
        <v>72</v>
      </c>
      <c r="O62" t="s">
        <v>72</v>
      </c>
      <c r="P62" t="s">
        <v>73</v>
      </c>
      <c r="Q62" t="s">
        <v>74</v>
      </c>
      <c r="R62" t="s">
        <v>75</v>
      </c>
      <c r="S62" s="1" t="s">
        <v>172</v>
      </c>
      <c r="T62" s="1" t="s">
        <v>172</v>
      </c>
      <c r="U62" s="1" t="s">
        <v>172</v>
      </c>
      <c r="V62" s="1" t="s">
        <v>173</v>
      </c>
      <c r="W62" s="13">
        <v>136</v>
      </c>
      <c r="X62" s="13" t="s">
        <v>174</v>
      </c>
      <c r="Y62" s="13" t="s">
        <v>94</v>
      </c>
      <c r="Z62" s="3">
        <v>11.237</v>
      </c>
      <c r="AA62" s="3">
        <v>14</v>
      </c>
      <c r="AB62" s="3">
        <v>2.437</v>
      </c>
      <c r="AC62" s="4">
        <v>11.161</v>
      </c>
      <c r="AD62" s="3">
        <v>15</v>
      </c>
      <c r="AE62" s="3">
        <v>7.982</v>
      </c>
      <c r="AF62" s="5" t="s">
        <v>81</v>
      </c>
      <c r="AG62" s="14">
        <v>1.6502</v>
      </c>
      <c r="AH62" s="14">
        <v>14</v>
      </c>
      <c r="AI62" s="14">
        <v>0.592</v>
      </c>
      <c r="AJ62" s="14">
        <v>1.722</v>
      </c>
      <c r="AK62" s="14">
        <v>15</v>
      </c>
      <c r="AL62" s="14">
        <v>0.657</v>
      </c>
      <c r="AM62" s="7"/>
      <c r="AN62" s="15"/>
      <c r="AO62" s="15"/>
      <c r="AP62" s="7"/>
      <c r="AQ62" s="7"/>
      <c r="AR62" s="7"/>
      <c r="AS62" s="7"/>
      <c r="AT62" s="7"/>
      <c r="AU62" s="7"/>
      <c r="AV62" s="7"/>
      <c r="AW62" s="7"/>
      <c r="AX62" s="7"/>
      <c r="AY62" s="7"/>
      <c r="AZ62" s="8"/>
      <c r="BA62" s="1"/>
      <c r="BB62" s="7"/>
      <c r="BC62" s="9" t="s">
        <v>82</v>
      </c>
      <c r="BD62" s="9" t="s">
        <v>82</v>
      </c>
      <c r="BE62" s="10" t="str">
        <f t="shared" si="4"/>
        <v>subtropic</v>
      </c>
      <c r="BF62" s="11"/>
    </row>
    <row r="63" ht="28.5" spans="1:58">
      <c r="A63">
        <v>79</v>
      </c>
      <c r="B63" t="s">
        <v>430</v>
      </c>
      <c r="C63" t="s">
        <v>433</v>
      </c>
      <c r="D63">
        <v>2022</v>
      </c>
      <c r="E63" s="17" t="s">
        <v>434</v>
      </c>
      <c r="F63" t="s">
        <v>68</v>
      </c>
      <c r="G63">
        <v>24.4795</v>
      </c>
      <c r="H63">
        <v>118.0895</v>
      </c>
      <c r="I63">
        <v>14</v>
      </c>
      <c r="J63" t="s">
        <v>89</v>
      </c>
      <c r="K63" t="s">
        <v>70</v>
      </c>
      <c r="L63" t="s">
        <v>71</v>
      </c>
      <c r="M63" t="s">
        <v>72</v>
      </c>
      <c r="N63" t="s">
        <v>72</v>
      </c>
      <c r="O63" t="s">
        <v>72</v>
      </c>
      <c r="P63" t="s">
        <v>73</v>
      </c>
      <c r="Q63" t="s">
        <v>74</v>
      </c>
      <c r="R63" t="s">
        <v>90</v>
      </c>
      <c r="S63" s="1" t="s">
        <v>435</v>
      </c>
      <c r="T63" s="1" t="s">
        <v>92</v>
      </c>
      <c r="U63" s="1" t="s">
        <v>92</v>
      </c>
      <c r="V63" s="1" t="s">
        <v>92</v>
      </c>
      <c r="W63" s="13">
        <v>10</v>
      </c>
      <c r="X63" s="13" t="s">
        <v>192</v>
      </c>
      <c r="Y63" s="13" t="s">
        <v>80</v>
      </c>
      <c r="Z63" s="3">
        <v>33.627</v>
      </c>
      <c r="AA63" s="3">
        <v>5</v>
      </c>
      <c r="AB63" s="3">
        <v>5.397</v>
      </c>
      <c r="AC63" s="24">
        <v>24.56</v>
      </c>
      <c r="AD63" s="3">
        <v>15</v>
      </c>
      <c r="AE63" s="3">
        <v>4.7697</v>
      </c>
      <c r="AF63" s="5"/>
      <c r="AG63" s="14"/>
      <c r="AH63" s="14"/>
      <c r="AI63" s="14"/>
      <c r="AJ63" s="14"/>
      <c r="AK63" s="14"/>
      <c r="AL63" s="14"/>
      <c r="AM63" s="7">
        <v>12</v>
      </c>
      <c r="AN63" s="15" t="s">
        <v>436</v>
      </c>
      <c r="AO63" s="15" t="s">
        <v>437</v>
      </c>
      <c r="AP63" s="7" t="s">
        <v>122</v>
      </c>
      <c r="AQ63" s="7">
        <v>0.575624</v>
      </c>
      <c r="AR63" s="7">
        <v>378</v>
      </c>
      <c r="AS63" s="7">
        <v>0.384663</v>
      </c>
      <c r="AT63" s="7">
        <v>0.825333</v>
      </c>
      <c r="AU63" s="7">
        <v>45</v>
      </c>
      <c r="AV63" s="7">
        <v>0.700101</v>
      </c>
      <c r="AW63" s="7">
        <v>0.739898</v>
      </c>
      <c r="AX63" s="7">
        <v>280</v>
      </c>
      <c r="AY63" s="7">
        <v>0.475283</v>
      </c>
      <c r="AZ63" s="8"/>
      <c r="BA63" s="1"/>
      <c r="BB63" s="7" t="s">
        <v>101</v>
      </c>
      <c r="BC63" s="9" t="s">
        <v>82</v>
      </c>
      <c r="BD63" s="9" t="s">
        <v>82</v>
      </c>
      <c r="BE63" s="10" t="str">
        <f t="shared" si="4"/>
        <v>subtropic</v>
      </c>
      <c r="BF63" s="11"/>
    </row>
    <row r="64" ht="42.75" spans="1:58">
      <c r="A64">
        <v>80</v>
      </c>
      <c r="B64" t="s">
        <v>430</v>
      </c>
      <c r="C64" t="s">
        <v>433</v>
      </c>
      <c r="D64">
        <v>2022</v>
      </c>
      <c r="E64" s="17" t="s">
        <v>434</v>
      </c>
      <c r="F64" t="s">
        <v>68</v>
      </c>
      <c r="G64">
        <v>24.4795</v>
      </c>
      <c r="H64">
        <v>118.0895</v>
      </c>
      <c r="I64">
        <v>14</v>
      </c>
      <c r="J64" t="s">
        <v>89</v>
      </c>
      <c r="K64" t="s">
        <v>70</v>
      </c>
      <c r="L64" t="s">
        <v>71</v>
      </c>
      <c r="M64" t="s">
        <v>72</v>
      </c>
      <c r="N64" t="s">
        <v>72</v>
      </c>
      <c r="O64" t="s">
        <v>72</v>
      </c>
      <c r="P64" t="s">
        <v>73</v>
      </c>
      <c r="Q64" t="s">
        <v>74</v>
      </c>
      <c r="R64" t="s">
        <v>90</v>
      </c>
      <c r="S64" s="1" t="s">
        <v>342</v>
      </c>
      <c r="T64" s="1" t="s">
        <v>240</v>
      </c>
      <c r="U64" s="1" t="s">
        <v>241</v>
      </c>
      <c r="V64" s="1" t="s">
        <v>241</v>
      </c>
      <c r="W64" s="13">
        <v>10</v>
      </c>
      <c r="X64" s="13" t="s">
        <v>192</v>
      </c>
      <c r="Y64" s="13" t="s">
        <v>80</v>
      </c>
      <c r="Z64" s="3">
        <v>24.076</v>
      </c>
      <c r="AA64" s="3">
        <v>5</v>
      </c>
      <c r="AB64" s="3">
        <v>4.463</v>
      </c>
      <c r="AC64" s="4">
        <v>27.071</v>
      </c>
      <c r="AD64" s="3">
        <v>15</v>
      </c>
      <c r="AE64" s="3">
        <v>8.199</v>
      </c>
      <c r="AF64" s="5"/>
      <c r="AG64" s="14"/>
      <c r="AH64" s="14"/>
      <c r="AI64" s="14"/>
      <c r="AJ64" s="14"/>
      <c r="AK64" s="14"/>
      <c r="AL64" s="14"/>
      <c r="AM64" s="7">
        <v>13</v>
      </c>
      <c r="AN64" s="15" t="s">
        <v>436</v>
      </c>
      <c r="AO64" s="15" t="s">
        <v>437</v>
      </c>
      <c r="AP64" s="7" t="s">
        <v>122</v>
      </c>
      <c r="AQ64" s="7">
        <v>0.721533</v>
      </c>
      <c r="AR64" s="7">
        <v>406</v>
      </c>
      <c r="AS64" s="7">
        <v>0.373134</v>
      </c>
      <c r="AT64" s="7">
        <v>0.70604</v>
      </c>
      <c r="AU64" s="7">
        <v>45</v>
      </c>
      <c r="AV64" s="7">
        <v>0.47382</v>
      </c>
      <c r="AW64" s="7">
        <v>0.736105</v>
      </c>
      <c r="AX64" s="7">
        <v>290</v>
      </c>
      <c r="AY64" s="7">
        <v>0.368727</v>
      </c>
      <c r="AZ64" s="8"/>
      <c r="BA64" s="1"/>
      <c r="BB64" s="7" t="s">
        <v>101</v>
      </c>
      <c r="BC64" s="9" t="s">
        <v>82</v>
      </c>
      <c r="BD64" s="9" t="s">
        <v>82</v>
      </c>
      <c r="BE64" s="10" t="str">
        <f t="shared" si="4"/>
        <v>subtropic</v>
      </c>
      <c r="BF64" s="11"/>
    </row>
    <row r="65" ht="42.75" spans="1:58">
      <c r="A65">
        <v>81</v>
      </c>
      <c r="B65" t="s">
        <v>438</v>
      </c>
      <c r="C65" t="s">
        <v>441</v>
      </c>
      <c r="D65">
        <v>2022</v>
      </c>
      <c r="E65" s="12" t="s">
        <v>442</v>
      </c>
      <c r="F65" t="s">
        <v>443</v>
      </c>
      <c r="G65">
        <v>4.9582</v>
      </c>
      <c r="H65">
        <v>8.3061</v>
      </c>
      <c r="I65">
        <v>2</v>
      </c>
      <c r="J65" t="s">
        <v>256</v>
      </c>
      <c r="K65" t="s">
        <v>444</v>
      </c>
      <c r="L65" t="s">
        <v>445</v>
      </c>
      <c r="M65" t="s">
        <v>72</v>
      </c>
      <c r="N65" t="s">
        <v>72</v>
      </c>
      <c r="O65" t="s">
        <v>72</v>
      </c>
      <c r="P65" t="s">
        <v>73</v>
      </c>
      <c r="Q65" t="s">
        <v>74</v>
      </c>
      <c r="R65" t="s">
        <v>75</v>
      </c>
      <c r="S65" s="1" t="s">
        <v>333</v>
      </c>
      <c r="T65" s="1" t="s">
        <v>172</v>
      </c>
      <c r="U65" s="1" t="s">
        <v>172</v>
      </c>
      <c r="V65" s="1" t="s">
        <v>173</v>
      </c>
      <c r="W65" s="13">
        <v>8</v>
      </c>
      <c r="X65" s="13" t="s">
        <v>192</v>
      </c>
      <c r="Y65" s="13" t="s">
        <v>80</v>
      </c>
      <c r="Z65" s="3"/>
      <c r="AA65" s="3"/>
      <c r="AB65" s="3"/>
      <c r="AC65" s="4"/>
      <c r="AD65" s="3"/>
      <c r="AE65" s="3"/>
      <c r="AF65" s="5" t="s">
        <v>81</v>
      </c>
      <c r="AG65" s="14">
        <v>2.65</v>
      </c>
      <c r="AH65" s="14">
        <v>7</v>
      </c>
      <c r="AI65" s="14">
        <v>0.132</v>
      </c>
      <c r="AJ65" s="14">
        <v>1.38</v>
      </c>
      <c r="AK65" s="14">
        <v>7</v>
      </c>
      <c r="AL65" s="14">
        <v>0.847</v>
      </c>
      <c r="AM65" s="7"/>
      <c r="AN65" s="15"/>
      <c r="AO65" s="15"/>
      <c r="AP65" s="7"/>
      <c r="AQ65" s="7"/>
      <c r="AR65" s="7"/>
      <c r="AS65" s="7"/>
      <c r="AT65" s="7"/>
      <c r="AU65" s="7"/>
      <c r="AV65" s="7"/>
      <c r="AW65" s="7"/>
      <c r="AX65" s="7"/>
      <c r="AY65" s="7"/>
      <c r="AZ65" s="8"/>
      <c r="BA65" s="1"/>
      <c r="BB65" s="7"/>
      <c r="BC65" s="9" t="s">
        <v>82</v>
      </c>
      <c r="BD65" s="9" t="s">
        <v>82</v>
      </c>
      <c r="BE65" s="10" t="str">
        <f t="shared" si="4"/>
        <v>tropic</v>
      </c>
      <c r="BF65" s="11"/>
    </row>
    <row r="66" ht="28.5" spans="1:58">
      <c r="A66">
        <v>82</v>
      </c>
      <c r="B66" t="s">
        <v>446</v>
      </c>
      <c r="C66" t="s">
        <v>449</v>
      </c>
      <c r="D66">
        <v>2021</v>
      </c>
      <c r="E66" s="12" t="s">
        <v>450</v>
      </c>
      <c r="F66" t="s">
        <v>68</v>
      </c>
      <c r="G66">
        <v>34</v>
      </c>
      <c r="H66">
        <v>117</v>
      </c>
      <c r="I66">
        <v>11</v>
      </c>
      <c r="J66" t="s">
        <v>111</v>
      </c>
      <c r="K66" t="s">
        <v>70</v>
      </c>
      <c r="L66" t="s">
        <v>71</v>
      </c>
      <c r="M66" t="s">
        <v>72</v>
      </c>
      <c r="N66" t="s">
        <v>72</v>
      </c>
      <c r="O66" t="s">
        <v>72</v>
      </c>
      <c r="P66" t="s">
        <v>73</v>
      </c>
      <c r="Q66" t="s">
        <v>74</v>
      </c>
      <c r="R66" t="s">
        <v>75</v>
      </c>
      <c r="S66" s="1" t="s">
        <v>344</v>
      </c>
      <c r="T66" s="1" t="s">
        <v>344</v>
      </c>
      <c r="U66" s="1" t="s">
        <v>344</v>
      </c>
      <c r="V66" s="1" t="s">
        <v>344</v>
      </c>
      <c r="W66" s="13">
        <v>938</v>
      </c>
      <c r="X66" s="13" t="s">
        <v>93</v>
      </c>
      <c r="Y66" s="13" t="s">
        <v>94</v>
      </c>
      <c r="Z66" s="3">
        <v>16.44</v>
      </c>
      <c r="AA66" s="3">
        <v>18</v>
      </c>
      <c r="AB66" s="3">
        <v>6.319</v>
      </c>
      <c r="AC66" s="4">
        <v>6.045</v>
      </c>
      <c r="AD66" s="3">
        <v>74</v>
      </c>
      <c r="AE66" s="3">
        <v>2.491</v>
      </c>
      <c r="AF66" s="5" t="s">
        <v>81</v>
      </c>
      <c r="AG66" s="14">
        <v>5.12</v>
      </c>
      <c r="AH66" s="14">
        <v>18</v>
      </c>
      <c r="AI66" s="14">
        <v>0.31</v>
      </c>
      <c r="AJ66" s="14">
        <v>3.85</v>
      </c>
      <c r="AK66" s="14">
        <v>74</v>
      </c>
      <c r="AL66" s="14">
        <v>1.806</v>
      </c>
      <c r="AM66" s="7">
        <v>14</v>
      </c>
      <c r="AN66" s="15" t="s">
        <v>451</v>
      </c>
      <c r="AO66" s="15" t="s">
        <v>452</v>
      </c>
      <c r="AP66" s="7" t="s">
        <v>122</v>
      </c>
      <c r="AQ66" s="7">
        <v>0.125497</v>
      </c>
      <c r="AR66" s="7">
        <v>45</v>
      </c>
      <c r="AS66" s="7">
        <v>0.098357</v>
      </c>
      <c r="AT66" s="7">
        <v>0.244621</v>
      </c>
      <c r="AU66" s="7">
        <v>45</v>
      </c>
      <c r="AV66" s="7">
        <v>0.133715</v>
      </c>
      <c r="AW66" s="7">
        <v>0.496974</v>
      </c>
      <c r="AX66" s="7">
        <v>100</v>
      </c>
      <c r="AY66" s="7">
        <v>0.109451</v>
      </c>
      <c r="AZ66" s="8"/>
      <c r="BA66" s="1"/>
      <c r="BB66" s="7"/>
      <c r="BC66" s="9" t="s">
        <v>82</v>
      </c>
      <c r="BD66" s="9" t="s">
        <v>82</v>
      </c>
      <c r="BE66" s="10" t="str">
        <f t="shared" si="4"/>
        <v>subtropic</v>
      </c>
      <c r="BF66" s="11"/>
    </row>
    <row r="67" ht="28.5" spans="1:58">
      <c r="A67">
        <v>83</v>
      </c>
      <c r="B67" t="s">
        <v>453</v>
      </c>
      <c r="C67" t="s">
        <v>456</v>
      </c>
      <c r="D67">
        <v>2021</v>
      </c>
      <c r="E67" s="12" t="s">
        <v>457</v>
      </c>
      <c r="F67" t="s">
        <v>332</v>
      </c>
      <c r="G67">
        <v>46.8144</v>
      </c>
      <c r="H67">
        <v>-71.2078</v>
      </c>
      <c r="I67">
        <v>26</v>
      </c>
      <c r="J67" t="s">
        <v>181</v>
      </c>
      <c r="K67" t="s">
        <v>182</v>
      </c>
      <c r="L67" t="s">
        <v>183</v>
      </c>
      <c r="M67" t="s">
        <v>359</v>
      </c>
      <c r="N67" t="s">
        <v>267</v>
      </c>
      <c r="O67" t="s">
        <v>268</v>
      </c>
      <c r="P67" t="s">
        <v>360</v>
      </c>
      <c r="Q67" t="s">
        <v>74</v>
      </c>
      <c r="R67" t="s">
        <v>191</v>
      </c>
      <c r="S67" s="1" t="s">
        <v>458</v>
      </c>
      <c r="T67" s="1" t="s">
        <v>191</v>
      </c>
      <c r="U67" s="1" t="s">
        <v>191</v>
      </c>
      <c r="V67" s="1" t="s">
        <v>191</v>
      </c>
      <c r="W67" s="13">
        <v>26</v>
      </c>
      <c r="X67" s="13" t="s">
        <v>79</v>
      </c>
      <c r="Y67" s="13" t="s">
        <v>80</v>
      </c>
      <c r="Z67" s="3">
        <v>33.093</v>
      </c>
      <c r="AA67" s="3">
        <v>25</v>
      </c>
      <c r="AB67" s="3">
        <v>4.291</v>
      </c>
      <c r="AC67" s="4">
        <v>29.694</v>
      </c>
      <c r="AD67" s="3">
        <v>29</v>
      </c>
      <c r="AE67" s="3">
        <v>4.163</v>
      </c>
      <c r="AF67" s="5"/>
      <c r="AG67" s="14"/>
      <c r="AH67" s="14"/>
      <c r="AI67" s="14"/>
      <c r="AJ67" s="14"/>
      <c r="AK67" s="14"/>
      <c r="AL67" s="14"/>
      <c r="AM67" s="7">
        <v>15</v>
      </c>
      <c r="AN67" s="15" t="s">
        <v>459</v>
      </c>
      <c r="AO67" s="15" t="s">
        <v>460</v>
      </c>
      <c r="AP67" s="7" t="s">
        <v>97</v>
      </c>
      <c r="AQ67" s="7">
        <v>0.59636</v>
      </c>
      <c r="AR67" s="7">
        <v>55</v>
      </c>
      <c r="AS67" s="7">
        <v>0.309876</v>
      </c>
      <c r="AT67" s="7">
        <v>0.201016</v>
      </c>
      <c r="AU67" s="7">
        <v>36</v>
      </c>
      <c r="AV67" s="7">
        <v>0.125771</v>
      </c>
      <c r="AW67" s="7">
        <v>0.676811</v>
      </c>
      <c r="AX67" s="7">
        <v>99</v>
      </c>
      <c r="AY67" s="7">
        <v>0.347382</v>
      </c>
      <c r="AZ67" s="8"/>
      <c r="BA67" s="1"/>
      <c r="BB67" s="7"/>
      <c r="BC67" s="9" t="s">
        <v>82</v>
      </c>
      <c r="BD67" s="9" t="s">
        <v>82</v>
      </c>
      <c r="BE67" s="10" t="str">
        <f t="shared" si="4"/>
        <v>temperate</v>
      </c>
      <c r="BF67" s="11"/>
    </row>
    <row r="68" ht="28.5" spans="1:58">
      <c r="A68">
        <v>84</v>
      </c>
      <c r="B68" t="s">
        <v>461</v>
      </c>
      <c r="C68" t="s">
        <v>464</v>
      </c>
      <c r="D68">
        <v>2021</v>
      </c>
      <c r="E68" s="12" t="s">
        <v>465</v>
      </c>
      <c r="F68" t="s">
        <v>145</v>
      </c>
      <c r="G68">
        <v>-29.3646</v>
      </c>
      <c r="H68">
        <v>-51.6658</v>
      </c>
      <c r="I68">
        <v>14</v>
      </c>
      <c r="J68" t="s">
        <v>89</v>
      </c>
      <c r="K68" t="s">
        <v>70</v>
      </c>
      <c r="L68" t="s">
        <v>146</v>
      </c>
      <c r="M68" t="s">
        <v>277</v>
      </c>
      <c r="N68" t="s">
        <v>217</v>
      </c>
      <c r="O68" t="s">
        <v>277</v>
      </c>
      <c r="P68" t="s">
        <v>279</v>
      </c>
      <c r="Q68" t="s">
        <v>74</v>
      </c>
      <c r="R68" t="s">
        <v>75</v>
      </c>
      <c r="S68" s="1" t="s">
        <v>466</v>
      </c>
      <c r="T68" s="1" t="s">
        <v>172</v>
      </c>
      <c r="U68" s="1" t="s">
        <v>324</v>
      </c>
      <c r="V68" s="1" t="s">
        <v>325</v>
      </c>
      <c r="W68" s="13">
        <v>121</v>
      </c>
      <c r="X68" s="13" t="s">
        <v>174</v>
      </c>
      <c r="Y68" s="13" t="s">
        <v>80</v>
      </c>
      <c r="Z68" s="3">
        <v>8.267</v>
      </c>
      <c r="AA68" s="3">
        <v>15</v>
      </c>
      <c r="AB68" s="3">
        <v>2.125</v>
      </c>
      <c r="AC68" s="4">
        <v>7.308</v>
      </c>
      <c r="AD68" s="3">
        <v>13</v>
      </c>
      <c r="AE68" s="3">
        <v>2.373</v>
      </c>
      <c r="AF68" s="5"/>
      <c r="AG68" s="14"/>
      <c r="AH68" s="14"/>
      <c r="AI68" s="14"/>
      <c r="AJ68" s="14"/>
      <c r="AK68" s="14"/>
      <c r="AL68" s="14"/>
      <c r="AM68" s="7"/>
      <c r="AN68" s="15"/>
      <c r="AO68" s="15"/>
      <c r="AP68" s="7"/>
      <c r="AQ68" s="7"/>
      <c r="AR68" s="7"/>
      <c r="AS68" s="7"/>
      <c r="AT68" s="7"/>
      <c r="AU68" s="7"/>
      <c r="AV68" s="7"/>
      <c r="AW68" s="7"/>
      <c r="AX68" s="7"/>
      <c r="AY68" s="7"/>
      <c r="AZ68" s="8"/>
      <c r="BA68" s="1"/>
      <c r="BB68" s="7"/>
      <c r="BC68" s="9" t="s">
        <v>153</v>
      </c>
      <c r="BD68" s="9" t="s">
        <v>126</v>
      </c>
      <c r="BE68" s="10" t="str">
        <f t="shared" si="4"/>
        <v>subtropic</v>
      </c>
      <c r="BF68" s="11"/>
    </row>
    <row r="69" ht="28.5" spans="1:58">
      <c r="A69">
        <v>85</v>
      </c>
      <c r="B69" t="s">
        <v>461</v>
      </c>
      <c r="C69" t="s">
        <v>464</v>
      </c>
      <c r="D69">
        <v>2021</v>
      </c>
      <c r="E69" s="12" t="s">
        <v>465</v>
      </c>
      <c r="F69" t="s">
        <v>145</v>
      </c>
      <c r="G69">
        <v>-29.3646</v>
      </c>
      <c r="H69">
        <v>-51.6658</v>
      </c>
      <c r="I69">
        <v>14</v>
      </c>
      <c r="J69" t="s">
        <v>89</v>
      </c>
      <c r="K69" t="s">
        <v>70</v>
      </c>
      <c r="L69" t="s">
        <v>146</v>
      </c>
      <c r="M69" t="s">
        <v>277</v>
      </c>
      <c r="N69" t="s">
        <v>217</v>
      </c>
      <c r="O69" t="s">
        <v>277</v>
      </c>
      <c r="P69" t="s">
        <v>279</v>
      </c>
      <c r="Q69" t="s">
        <v>74</v>
      </c>
      <c r="R69" t="s">
        <v>75</v>
      </c>
      <c r="S69" s="1" t="s">
        <v>467</v>
      </c>
      <c r="T69" s="1" t="s">
        <v>172</v>
      </c>
      <c r="U69" s="1" t="s">
        <v>324</v>
      </c>
      <c r="V69" s="1" t="s">
        <v>325</v>
      </c>
      <c r="W69" s="13">
        <v>121</v>
      </c>
      <c r="X69" s="13" t="s">
        <v>174</v>
      </c>
      <c r="Y69" s="13" t="s">
        <v>80</v>
      </c>
      <c r="Z69" s="3"/>
      <c r="AA69" s="3"/>
      <c r="AB69" s="3"/>
      <c r="AC69" s="4"/>
      <c r="AD69" s="3"/>
      <c r="AE69" s="3"/>
      <c r="AF69" s="5"/>
      <c r="AG69" s="14"/>
      <c r="AH69" s="14"/>
      <c r="AI69" s="14"/>
      <c r="AJ69" s="14"/>
      <c r="AK69" s="14"/>
      <c r="AL69" s="14"/>
      <c r="AM69" s="7">
        <v>16</v>
      </c>
      <c r="AN69" s="15" t="s">
        <v>468</v>
      </c>
      <c r="AO69" s="15" t="s">
        <v>469</v>
      </c>
      <c r="AP69" s="7" t="s">
        <v>122</v>
      </c>
      <c r="AQ69" s="7">
        <v>1.118476</v>
      </c>
      <c r="AR69" s="7">
        <v>66</v>
      </c>
      <c r="AS69" s="7">
        <v>0.546649</v>
      </c>
      <c r="AT69" s="7">
        <v>0.900931</v>
      </c>
      <c r="AU69" s="7">
        <v>91</v>
      </c>
      <c r="AV69" s="7">
        <v>0.425704</v>
      </c>
      <c r="AW69" s="7">
        <v>1.018279</v>
      </c>
      <c r="AX69" s="7">
        <v>168</v>
      </c>
      <c r="AY69" s="7">
        <v>0.519079</v>
      </c>
      <c r="AZ69" s="8"/>
      <c r="BA69" s="1"/>
      <c r="BB69" s="7"/>
      <c r="BC69" s="9" t="s">
        <v>153</v>
      </c>
      <c r="BD69" s="9" t="s">
        <v>126</v>
      </c>
      <c r="BE69" s="10" t="str">
        <f t="shared" si="4"/>
        <v>subtropic</v>
      </c>
      <c r="BF69" s="11"/>
    </row>
    <row r="70" ht="28.5" spans="1:58">
      <c r="A70">
        <v>86</v>
      </c>
      <c r="B70" t="s">
        <v>461</v>
      </c>
      <c r="C70" t="s">
        <v>464</v>
      </c>
      <c r="D70">
        <v>2021</v>
      </c>
      <c r="E70" s="12" t="s">
        <v>465</v>
      </c>
      <c r="F70" t="s">
        <v>145</v>
      </c>
      <c r="G70">
        <v>-29.3646</v>
      </c>
      <c r="H70">
        <v>-51.6658</v>
      </c>
      <c r="I70">
        <v>14</v>
      </c>
      <c r="J70" t="s">
        <v>89</v>
      </c>
      <c r="K70" t="s">
        <v>70</v>
      </c>
      <c r="L70" t="s">
        <v>146</v>
      </c>
      <c r="M70" t="s">
        <v>277</v>
      </c>
      <c r="N70" t="s">
        <v>217</v>
      </c>
      <c r="O70" t="s">
        <v>277</v>
      </c>
      <c r="P70" t="s">
        <v>279</v>
      </c>
      <c r="Q70" t="s">
        <v>74</v>
      </c>
      <c r="R70" t="s">
        <v>75</v>
      </c>
      <c r="S70" s="1" t="s">
        <v>470</v>
      </c>
      <c r="T70" s="1" t="s">
        <v>172</v>
      </c>
      <c r="U70" s="1" t="s">
        <v>324</v>
      </c>
      <c r="V70" s="1" t="s">
        <v>325</v>
      </c>
      <c r="W70" s="13">
        <v>121</v>
      </c>
      <c r="X70" s="13" t="s">
        <v>174</v>
      </c>
      <c r="Y70" s="13" t="s">
        <v>80</v>
      </c>
      <c r="Z70" s="3"/>
      <c r="AA70" s="3"/>
      <c r="AB70" s="3"/>
      <c r="AC70" s="4"/>
      <c r="AD70" s="3"/>
      <c r="AE70" s="3"/>
      <c r="AF70" s="5"/>
      <c r="AG70" s="14"/>
      <c r="AH70" s="14"/>
      <c r="AI70" s="14"/>
      <c r="AJ70" s="14"/>
      <c r="AK70" s="14"/>
      <c r="AL70" s="14"/>
      <c r="AM70" s="7">
        <v>17</v>
      </c>
      <c r="AN70" s="15" t="s">
        <v>468</v>
      </c>
      <c r="AO70" s="15" t="s">
        <v>469</v>
      </c>
      <c r="AP70" s="7" t="s">
        <v>122</v>
      </c>
      <c r="AQ70" s="7">
        <v>1.265507</v>
      </c>
      <c r="AR70" s="7">
        <v>78</v>
      </c>
      <c r="AS70" s="7">
        <v>0.621376</v>
      </c>
      <c r="AT70" s="7">
        <v>0.882999</v>
      </c>
      <c r="AU70" s="7">
        <v>91</v>
      </c>
      <c r="AV70" s="7">
        <v>0.407654</v>
      </c>
      <c r="AW70" s="7">
        <v>1.160314</v>
      </c>
      <c r="AX70" s="7">
        <v>182</v>
      </c>
      <c r="AY70" s="7">
        <v>0.600823</v>
      </c>
      <c r="AZ70" s="8"/>
      <c r="BA70" s="1"/>
      <c r="BB70" s="7"/>
      <c r="BC70" s="9" t="s">
        <v>153</v>
      </c>
      <c r="BD70" s="9" t="s">
        <v>126</v>
      </c>
      <c r="BE70" s="10" t="str">
        <f t="shared" si="4"/>
        <v>subtropic</v>
      </c>
      <c r="BF70" s="11"/>
    </row>
    <row r="71" ht="42.75" spans="1:58">
      <c r="A71">
        <v>87</v>
      </c>
      <c r="B71" t="s">
        <v>471</v>
      </c>
      <c r="C71" t="s">
        <v>474</v>
      </c>
      <c r="D71">
        <v>2021</v>
      </c>
      <c r="E71" s="12" t="s">
        <v>475</v>
      </c>
      <c r="F71" t="s">
        <v>476</v>
      </c>
      <c r="G71">
        <v>51.7612</v>
      </c>
      <c r="H71">
        <v>-1.2465</v>
      </c>
      <c r="I71">
        <v>15</v>
      </c>
      <c r="J71" t="s">
        <v>357</v>
      </c>
      <c r="K71" t="s">
        <v>182</v>
      </c>
      <c r="L71" t="s">
        <v>183</v>
      </c>
      <c r="M71" t="s">
        <v>277</v>
      </c>
      <c r="N71" t="s">
        <v>278</v>
      </c>
      <c r="O71" t="s">
        <v>277</v>
      </c>
      <c r="P71" t="s">
        <v>279</v>
      </c>
      <c r="Q71" t="s">
        <v>280</v>
      </c>
      <c r="R71" t="s">
        <v>75</v>
      </c>
      <c r="S71" s="1" t="s">
        <v>172</v>
      </c>
      <c r="T71" s="1" t="s">
        <v>172</v>
      </c>
      <c r="U71" s="1" t="s">
        <v>172</v>
      </c>
      <c r="V71" s="1" t="s">
        <v>173</v>
      </c>
      <c r="W71" s="13">
        <v>65</v>
      </c>
      <c r="X71" s="13" t="s">
        <v>119</v>
      </c>
      <c r="Y71" s="13" t="s">
        <v>80</v>
      </c>
      <c r="Z71" s="3">
        <v>36.066</v>
      </c>
      <c r="AA71" s="3">
        <v>20</v>
      </c>
      <c r="AB71" s="3">
        <v>26.05</v>
      </c>
      <c r="AC71" s="4">
        <v>10.58</v>
      </c>
      <c r="AD71" s="3">
        <v>30</v>
      </c>
      <c r="AE71" s="3">
        <v>9.367</v>
      </c>
      <c r="AF71" s="5"/>
      <c r="AG71" s="14"/>
      <c r="AH71" s="14"/>
      <c r="AI71" s="14"/>
      <c r="AJ71" s="14"/>
      <c r="AK71" s="14"/>
      <c r="AL71" s="14"/>
      <c r="AM71" s="7">
        <v>45</v>
      </c>
      <c r="AN71" s="15" t="s">
        <v>477</v>
      </c>
      <c r="AO71" s="15" t="s">
        <v>478</v>
      </c>
      <c r="AP71" s="7" t="s">
        <v>122</v>
      </c>
      <c r="AQ71" s="7">
        <v>0.712682</v>
      </c>
      <c r="AR71" s="7">
        <v>435</v>
      </c>
      <c r="AS71" s="7">
        <v>0.342664</v>
      </c>
      <c r="AT71" s="7">
        <v>0.599708</v>
      </c>
      <c r="AU71" s="7">
        <v>190</v>
      </c>
      <c r="AV71" s="7">
        <v>0.335961</v>
      </c>
      <c r="AW71" s="7">
        <v>1.046918</v>
      </c>
      <c r="AX71" s="7">
        <v>600</v>
      </c>
      <c r="AY71" s="7">
        <v>0.39989</v>
      </c>
      <c r="AZ71" s="8"/>
      <c r="BA71" s="1"/>
      <c r="BB71" s="7"/>
      <c r="BC71" s="9" t="s">
        <v>82</v>
      </c>
      <c r="BD71" s="9" t="s">
        <v>82</v>
      </c>
      <c r="BE71" s="10" t="str">
        <f t="shared" si="4"/>
        <v>temperate</v>
      </c>
      <c r="BF71" s="11"/>
    </row>
    <row r="72" ht="42.75" spans="1:58">
      <c r="A72">
        <v>88</v>
      </c>
      <c r="B72" t="s">
        <v>480</v>
      </c>
      <c r="C72" t="s">
        <v>483</v>
      </c>
      <c r="D72">
        <v>2021</v>
      </c>
      <c r="E72" s="12" t="s">
        <v>484</v>
      </c>
      <c r="F72" t="s">
        <v>208</v>
      </c>
      <c r="G72">
        <v>-34.426</v>
      </c>
      <c r="H72">
        <v>-58.538</v>
      </c>
      <c r="I72">
        <v>14</v>
      </c>
      <c r="J72" t="s">
        <v>89</v>
      </c>
      <c r="K72" t="s">
        <v>70</v>
      </c>
      <c r="L72" t="s">
        <v>146</v>
      </c>
      <c r="M72" t="s">
        <v>72</v>
      </c>
      <c r="N72" t="s">
        <v>72</v>
      </c>
      <c r="O72" t="s">
        <v>72</v>
      </c>
      <c r="P72" t="s">
        <v>73</v>
      </c>
      <c r="Q72" t="s">
        <v>74</v>
      </c>
      <c r="R72" t="s">
        <v>75</v>
      </c>
      <c r="S72" s="1" t="s">
        <v>485</v>
      </c>
      <c r="T72" s="1" t="s">
        <v>172</v>
      </c>
      <c r="U72" s="1" t="s">
        <v>286</v>
      </c>
      <c r="V72" s="1" t="s">
        <v>287</v>
      </c>
      <c r="W72" s="13">
        <v>70</v>
      </c>
      <c r="X72" s="13" t="s">
        <v>119</v>
      </c>
      <c r="Y72" s="13" t="s">
        <v>80</v>
      </c>
      <c r="Z72" s="3"/>
      <c r="AA72" s="3"/>
      <c r="AB72" s="3"/>
      <c r="AC72" s="4"/>
      <c r="AD72" s="3"/>
      <c r="AE72" s="3"/>
      <c r="AF72" s="5"/>
      <c r="AG72" s="14"/>
      <c r="AH72" s="14"/>
      <c r="AI72" s="14"/>
      <c r="AJ72" s="14"/>
      <c r="AK72" s="14"/>
      <c r="AL72" s="14"/>
      <c r="AM72" s="7">
        <v>18</v>
      </c>
      <c r="AN72" s="15" t="s">
        <v>486</v>
      </c>
      <c r="AO72" s="15" t="s">
        <v>487</v>
      </c>
      <c r="AP72" s="7" t="s">
        <v>122</v>
      </c>
      <c r="AQ72" s="7">
        <v>1.279645</v>
      </c>
      <c r="AR72" s="7">
        <v>21</v>
      </c>
      <c r="AS72" s="7">
        <v>0.630862</v>
      </c>
      <c r="AT72" s="7">
        <v>0.705585</v>
      </c>
      <c r="AU72" s="7">
        <v>66</v>
      </c>
      <c r="AV72" s="7">
        <v>0.425493</v>
      </c>
      <c r="AW72" s="7">
        <v>1.59812</v>
      </c>
      <c r="AX72" s="7">
        <v>84</v>
      </c>
      <c r="AY72" s="7">
        <v>0.502235</v>
      </c>
      <c r="AZ72" s="8"/>
      <c r="BA72" s="1"/>
      <c r="BB72" s="7"/>
      <c r="BC72" s="9" t="s">
        <v>82</v>
      </c>
      <c r="BD72" s="9" t="s">
        <v>82</v>
      </c>
      <c r="BE72" s="10" t="str">
        <f t="shared" si="4"/>
        <v>subtropic</v>
      </c>
      <c r="BF72" s="11"/>
    </row>
    <row r="73" spans="1:58">
      <c r="A73">
        <v>89</v>
      </c>
      <c r="B73" t="s">
        <v>488</v>
      </c>
      <c r="C73" t="s">
        <v>491</v>
      </c>
      <c r="D73">
        <v>2021</v>
      </c>
      <c r="E73" s="17" t="s">
        <v>492</v>
      </c>
      <c r="F73" t="s">
        <v>493</v>
      </c>
      <c r="G73">
        <v>-26.716</v>
      </c>
      <c r="H73">
        <v>27.1</v>
      </c>
      <c r="I73">
        <v>7</v>
      </c>
      <c r="J73" t="s">
        <v>494</v>
      </c>
      <c r="K73" t="s">
        <v>70</v>
      </c>
      <c r="L73" t="s">
        <v>445</v>
      </c>
      <c r="M73" t="s">
        <v>72</v>
      </c>
      <c r="N73" t="s">
        <v>72</v>
      </c>
      <c r="O73" t="s">
        <v>340</v>
      </c>
      <c r="P73" t="s">
        <v>495</v>
      </c>
      <c r="Q73" t="s">
        <v>74</v>
      </c>
      <c r="R73" t="s">
        <v>191</v>
      </c>
      <c r="S73" s="1" t="s">
        <v>191</v>
      </c>
      <c r="T73" s="1" t="s">
        <v>191</v>
      </c>
      <c r="U73" s="1" t="s">
        <v>191</v>
      </c>
      <c r="V73" s="1" t="s">
        <v>191</v>
      </c>
      <c r="W73" s="13">
        <v>26</v>
      </c>
      <c r="X73" s="13" t="s">
        <v>79</v>
      </c>
      <c r="Y73" s="13" t="s">
        <v>80</v>
      </c>
      <c r="Z73" s="3">
        <v>26.563</v>
      </c>
      <c r="AA73" s="3">
        <v>12</v>
      </c>
      <c r="AB73" s="3">
        <v>6.882</v>
      </c>
      <c r="AC73" s="4">
        <v>53.232</v>
      </c>
      <c r="AD73" s="3">
        <v>2</v>
      </c>
      <c r="AE73" s="3">
        <v>5.679</v>
      </c>
      <c r="AF73" s="5"/>
      <c r="AG73" s="14"/>
      <c r="AH73" s="14"/>
      <c r="AI73" s="14"/>
      <c r="AJ73" s="14"/>
      <c r="AK73" s="14"/>
      <c r="AL73" s="14"/>
      <c r="AM73" s="7"/>
      <c r="AN73" s="15"/>
      <c r="AO73" s="15"/>
      <c r="AP73" s="7"/>
      <c r="AQ73" s="7"/>
      <c r="AR73" s="7"/>
      <c r="AS73" s="7"/>
      <c r="AT73" s="7"/>
      <c r="AU73" s="7"/>
      <c r="AV73" s="7"/>
      <c r="AW73" s="7"/>
      <c r="AX73" s="7"/>
      <c r="AY73" s="7"/>
      <c r="AZ73" s="8"/>
      <c r="BA73" s="1"/>
      <c r="BB73" s="7"/>
      <c r="BC73" s="9" t="s">
        <v>82</v>
      </c>
      <c r="BD73" s="9" t="s">
        <v>82</v>
      </c>
      <c r="BE73" s="10" t="str">
        <f t="shared" si="4"/>
        <v>subtropic</v>
      </c>
      <c r="BF73" s="11"/>
    </row>
    <row r="74" ht="42.75" spans="1:58">
      <c r="A74">
        <v>90</v>
      </c>
      <c r="B74" t="s">
        <v>496</v>
      </c>
      <c r="C74" t="s">
        <v>499</v>
      </c>
      <c r="D74">
        <v>2021</v>
      </c>
      <c r="E74" s="17" t="s">
        <v>500</v>
      </c>
      <c r="F74" t="s">
        <v>68</v>
      </c>
      <c r="G74">
        <v>33</v>
      </c>
      <c r="H74">
        <v>110</v>
      </c>
      <c r="I74">
        <v>11</v>
      </c>
      <c r="J74" t="s">
        <v>111</v>
      </c>
      <c r="K74" t="s">
        <v>70</v>
      </c>
      <c r="L74" t="s">
        <v>71</v>
      </c>
      <c r="M74" t="s">
        <v>72</v>
      </c>
      <c r="N74" t="s">
        <v>72</v>
      </c>
      <c r="O74" t="s">
        <v>72</v>
      </c>
      <c r="P74" t="s">
        <v>73</v>
      </c>
      <c r="Q74" t="s">
        <v>74</v>
      </c>
      <c r="R74" t="s">
        <v>75</v>
      </c>
      <c r="S74" s="1" t="s">
        <v>172</v>
      </c>
      <c r="T74" s="1" t="s">
        <v>172</v>
      </c>
      <c r="U74" s="1" t="s">
        <v>172</v>
      </c>
      <c r="V74" s="1" t="s">
        <v>173</v>
      </c>
      <c r="W74" s="13">
        <v>424</v>
      </c>
      <c r="X74" s="13" t="s">
        <v>93</v>
      </c>
      <c r="Y74" s="13" t="s">
        <v>94</v>
      </c>
      <c r="Z74" s="3">
        <v>16.1</v>
      </c>
      <c r="AA74" s="3">
        <v>31</v>
      </c>
      <c r="AB74" s="3">
        <v>4.77</v>
      </c>
      <c r="AC74" s="24">
        <v>10</v>
      </c>
      <c r="AD74" s="3">
        <v>13</v>
      </c>
      <c r="AE74" s="3">
        <v>5.12</v>
      </c>
      <c r="AF74" s="5" t="s">
        <v>81</v>
      </c>
      <c r="AG74" s="19">
        <v>2.12</v>
      </c>
      <c r="AH74" s="14">
        <v>31</v>
      </c>
      <c r="AI74" s="19">
        <v>0.4</v>
      </c>
      <c r="AJ74" s="14">
        <v>1.68</v>
      </c>
      <c r="AK74" s="14">
        <v>13</v>
      </c>
      <c r="AL74" s="19">
        <v>0.57</v>
      </c>
      <c r="AM74" s="7"/>
      <c r="AN74" s="15"/>
      <c r="AO74" s="15"/>
      <c r="AP74" s="7"/>
      <c r="AQ74" s="7"/>
      <c r="AR74" s="7"/>
      <c r="AS74" s="7"/>
      <c r="AT74" s="7"/>
      <c r="AU74" s="7"/>
      <c r="AV74" s="7"/>
      <c r="AW74" s="7"/>
      <c r="AX74" s="7"/>
      <c r="AY74" s="7"/>
      <c r="AZ74" s="8"/>
      <c r="BA74" s="1"/>
      <c r="BB74" s="7"/>
      <c r="BC74" s="9" t="s">
        <v>82</v>
      </c>
      <c r="BD74" s="9" t="s">
        <v>82</v>
      </c>
      <c r="BE74" s="10" t="str">
        <f t="shared" si="4"/>
        <v>subtropic</v>
      </c>
      <c r="BF74" s="11" t="s">
        <v>1026</v>
      </c>
    </row>
    <row r="75" spans="1:58">
      <c r="A75">
        <v>91</v>
      </c>
      <c r="B75" t="s">
        <v>501</v>
      </c>
      <c r="C75" t="s">
        <v>504</v>
      </c>
      <c r="D75">
        <v>2021</v>
      </c>
      <c r="E75" s="12" t="s">
        <v>505</v>
      </c>
      <c r="F75" t="s">
        <v>208</v>
      </c>
      <c r="G75">
        <v>-34.8</v>
      </c>
      <c r="H75">
        <v>-58.6</v>
      </c>
      <c r="I75">
        <v>14</v>
      </c>
      <c r="J75" t="s">
        <v>89</v>
      </c>
      <c r="K75" t="s">
        <v>70</v>
      </c>
      <c r="L75" t="s">
        <v>146</v>
      </c>
      <c r="M75" t="s">
        <v>72</v>
      </c>
      <c r="N75" t="s">
        <v>72</v>
      </c>
      <c r="O75" t="s">
        <v>72</v>
      </c>
      <c r="P75" t="s">
        <v>73</v>
      </c>
      <c r="Q75" t="s">
        <v>74</v>
      </c>
      <c r="R75" t="s">
        <v>75</v>
      </c>
      <c r="S75" s="1" t="s">
        <v>117</v>
      </c>
      <c r="T75" s="1" t="s">
        <v>117</v>
      </c>
      <c r="U75" s="1" t="s">
        <v>117</v>
      </c>
      <c r="V75" s="1" t="s">
        <v>118</v>
      </c>
      <c r="W75" s="13">
        <v>86.8</v>
      </c>
      <c r="X75" s="13" t="s">
        <v>119</v>
      </c>
      <c r="Y75" s="13" t="s">
        <v>80</v>
      </c>
      <c r="Z75" s="3">
        <v>7.074</v>
      </c>
      <c r="AA75" s="3">
        <v>6</v>
      </c>
      <c r="AB75" s="3">
        <v>4.018</v>
      </c>
      <c r="AC75" s="4">
        <v>2.309</v>
      </c>
      <c r="AD75" s="3">
        <v>3</v>
      </c>
      <c r="AE75" s="3">
        <v>1.789</v>
      </c>
      <c r="AF75" s="5" t="s">
        <v>81</v>
      </c>
      <c r="AG75" s="14">
        <v>1.49</v>
      </c>
      <c r="AH75" s="14">
        <v>6</v>
      </c>
      <c r="AI75" s="14">
        <v>0.919</v>
      </c>
      <c r="AJ75" s="14">
        <v>0.764</v>
      </c>
      <c r="AK75" s="14">
        <v>3</v>
      </c>
      <c r="AL75" s="14">
        <v>0.873</v>
      </c>
      <c r="AM75" s="7"/>
      <c r="AN75" s="15"/>
      <c r="AO75" s="15"/>
      <c r="AP75" s="7"/>
      <c r="AQ75" s="7"/>
      <c r="AR75" s="7"/>
      <c r="AS75" s="7"/>
      <c r="AT75" s="7"/>
      <c r="AU75" s="7"/>
      <c r="AV75" s="7"/>
      <c r="AW75" s="7"/>
      <c r="AX75" s="7"/>
      <c r="AY75" s="7"/>
      <c r="AZ75" s="8"/>
      <c r="BA75" s="1"/>
      <c r="BB75" s="7"/>
      <c r="BC75" s="9" t="s">
        <v>82</v>
      </c>
      <c r="BD75" s="9" t="s">
        <v>82</v>
      </c>
      <c r="BE75" s="10" t="str">
        <f t="shared" si="4"/>
        <v>subtropic</v>
      </c>
      <c r="BF75" s="11"/>
    </row>
    <row r="76" ht="42.75" spans="1:58">
      <c r="A76">
        <v>92</v>
      </c>
      <c r="B76" t="s">
        <v>506</v>
      </c>
      <c r="C76" t="s">
        <v>509</v>
      </c>
      <c r="D76">
        <v>2021</v>
      </c>
      <c r="E76" s="12" t="s">
        <v>510</v>
      </c>
      <c r="F76" t="s">
        <v>511</v>
      </c>
      <c r="G76">
        <v>18.43</v>
      </c>
      <c r="H76">
        <v>-66.05</v>
      </c>
      <c r="I76">
        <v>1</v>
      </c>
      <c r="J76" t="s">
        <v>512</v>
      </c>
      <c r="K76" t="s">
        <v>182</v>
      </c>
      <c r="L76" t="s">
        <v>146</v>
      </c>
      <c r="M76" t="s">
        <v>513</v>
      </c>
      <c r="N76" t="s">
        <v>113</v>
      </c>
      <c r="O76" t="s">
        <v>114</v>
      </c>
      <c r="P76" t="s">
        <v>514</v>
      </c>
      <c r="Q76" t="s">
        <v>116</v>
      </c>
      <c r="R76" t="s">
        <v>75</v>
      </c>
      <c r="S76" s="1" t="s">
        <v>76</v>
      </c>
      <c r="T76" s="1" t="s">
        <v>76</v>
      </c>
      <c r="U76" s="1" t="s">
        <v>281</v>
      </c>
      <c r="V76" s="1" t="s">
        <v>282</v>
      </c>
      <c r="W76" s="13">
        <v>81</v>
      </c>
      <c r="X76" s="13" t="s">
        <v>119</v>
      </c>
      <c r="Y76" s="13" t="s">
        <v>94</v>
      </c>
      <c r="Z76" s="3">
        <v>13.222</v>
      </c>
      <c r="AA76" s="3">
        <v>9</v>
      </c>
      <c r="AB76" s="3">
        <v>3.193</v>
      </c>
      <c r="AC76" s="4">
        <v>15.778</v>
      </c>
      <c r="AD76" s="3">
        <v>9</v>
      </c>
      <c r="AE76" s="3">
        <v>2.333</v>
      </c>
      <c r="AF76" s="5"/>
      <c r="AG76" s="14"/>
      <c r="AH76" s="14"/>
      <c r="AI76" s="14"/>
      <c r="AJ76" s="14"/>
      <c r="AK76" s="14"/>
      <c r="AL76" s="14"/>
      <c r="AM76" s="7"/>
      <c r="AN76" s="15"/>
      <c r="AO76" s="15"/>
      <c r="AP76" s="7"/>
      <c r="AQ76" s="7"/>
      <c r="AR76" s="7"/>
      <c r="AS76" s="7"/>
      <c r="AT76" s="7"/>
      <c r="AU76" s="7"/>
      <c r="AV76" s="7"/>
      <c r="AW76" s="7"/>
      <c r="AX76" s="7"/>
      <c r="AY76" s="7"/>
      <c r="AZ76" s="8"/>
      <c r="BA76" s="1"/>
      <c r="BB76" s="7"/>
      <c r="BC76" s="9" t="s">
        <v>515</v>
      </c>
      <c r="BD76" s="9" t="s">
        <v>126</v>
      </c>
      <c r="BE76" s="10" t="str">
        <f t="shared" si="4"/>
        <v>tropic</v>
      </c>
      <c r="BF76" s="11"/>
    </row>
    <row r="77" ht="42.75" spans="1:58">
      <c r="A77">
        <v>93</v>
      </c>
      <c r="B77" t="s">
        <v>506</v>
      </c>
      <c r="C77" t="s">
        <v>509</v>
      </c>
      <c r="D77">
        <v>2021</v>
      </c>
      <c r="E77" s="12" t="s">
        <v>510</v>
      </c>
      <c r="F77" t="s">
        <v>511</v>
      </c>
      <c r="G77">
        <v>18.43</v>
      </c>
      <c r="H77">
        <v>-66.05</v>
      </c>
      <c r="I77">
        <v>1</v>
      </c>
      <c r="J77" t="s">
        <v>512</v>
      </c>
      <c r="K77" t="s">
        <v>182</v>
      </c>
      <c r="L77" t="s">
        <v>146</v>
      </c>
      <c r="M77" t="s">
        <v>513</v>
      </c>
      <c r="N77" t="s">
        <v>113</v>
      </c>
      <c r="O77" t="s">
        <v>114</v>
      </c>
      <c r="P77" t="s">
        <v>514</v>
      </c>
      <c r="Q77" t="s">
        <v>116</v>
      </c>
      <c r="R77" t="s">
        <v>75</v>
      </c>
      <c r="S77" s="1" t="s">
        <v>516</v>
      </c>
      <c r="T77" s="1" t="s">
        <v>284</v>
      </c>
      <c r="U77" s="1" t="s">
        <v>281</v>
      </c>
      <c r="V77" s="1" t="s">
        <v>282</v>
      </c>
      <c r="W77" s="13">
        <v>81</v>
      </c>
      <c r="X77" s="13" t="s">
        <v>119</v>
      </c>
      <c r="Y77" s="13" t="s">
        <v>94</v>
      </c>
      <c r="Z77" s="3">
        <v>1.444</v>
      </c>
      <c r="AA77" s="3">
        <v>9</v>
      </c>
      <c r="AB77" s="3">
        <v>1.333</v>
      </c>
      <c r="AC77" s="4">
        <v>2.333</v>
      </c>
      <c r="AD77" s="3">
        <v>9</v>
      </c>
      <c r="AE77" s="3">
        <v>1.323</v>
      </c>
      <c r="AF77" s="5"/>
      <c r="AG77" s="14"/>
      <c r="AH77" s="14"/>
      <c r="AI77" s="14"/>
      <c r="AJ77" s="14"/>
      <c r="AK77" s="14"/>
      <c r="AL77" s="14"/>
      <c r="AM77" s="7"/>
      <c r="AN77" s="15"/>
      <c r="AO77" s="15"/>
      <c r="AP77" s="7"/>
      <c r="AQ77" s="7"/>
      <c r="AR77" s="7"/>
      <c r="AS77" s="7"/>
      <c r="AT77" s="7"/>
      <c r="AU77" s="7"/>
      <c r="AV77" s="7"/>
      <c r="AW77" s="7"/>
      <c r="AX77" s="7"/>
      <c r="AY77" s="7"/>
      <c r="AZ77" s="8"/>
      <c r="BA77" s="1"/>
      <c r="BB77" s="7"/>
      <c r="BC77" s="9" t="s">
        <v>515</v>
      </c>
      <c r="BD77" s="9" t="s">
        <v>126</v>
      </c>
      <c r="BE77" s="10" t="str">
        <f t="shared" si="4"/>
        <v>tropic</v>
      </c>
      <c r="BF77" s="11"/>
    </row>
    <row r="78" ht="42.75" spans="1:58">
      <c r="A78">
        <v>94</v>
      </c>
      <c r="B78" t="s">
        <v>517</v>
      </c>
      <c r="C78" t="s">
        <v>520</v>
      </c>
      <c r="D78">
        <v>2020</v>
      </c>
      <c r="E78" s="12" t="s">
        <v>521</v>
      </c>
      <c r="F78" t="s">
        <v>522</v>
      </c>
      <c r="G78">
        <v>-37</v>
      </c>
      <c r="H78">
        <v>-73.6</v>
      </c>
      <c r="I78">
        <v>9</v>
      </c>
      <c r="J78" t="s">
        <v>171</v>
      </c>
      <c r="K78" t="s">
        <v>182</v>
      </c>
      <c r="L78" t="s">
        <v>146</v>
      </c>
      <c r="M78" t="s">
        <v>523</v>
      </c>
      <c r="N78" t="s">
        <v>113</v>
      </c>
      <c r="O78" t="s">
        <v>268</v>
      </c>
      <c r="P78" t="s">
        <v>524</v>
      </c>
      <c r="Q78" t="s">
        <v>116</v>
      </c>
      <c r="R78" t="s">
        <v>75</v>
      </c>
      <c r="S78" s="1" t="s">
        <v>172</v>
      </c>
      <c r="T78" s="1" t="s">
        <v>172</v>
      </c>
      <c r="U78" s="1" t="s">
        <v>172</v>
      </c>
      <c r="V78" s="1" t="s">
        <v>173</v>
      </c>
      <c r="W78" s="13">
        <v>75</v>
      </c>
      <c r="X78" s="13" t="s">
        <v>119</v>
      </c>
      <c r="Y78" s="13" t="s">
        <v>80</v>
      </c>
      <c r="Z78" s="3"/>
      <c r="AA78" s="3"/>
      <c r="AB78" s="3"/>
      <c r="AC78" s="4"/>
      <c r="AD78" s="3"/>
      <c r="AE78" s="3"/>
      <c r="AF78" s="5" t="s">
        <v>81</v>
      </c>
      <c r="AG78" s="14">
        <v>1.311</v>
      </c>
      <c r="AH78" s="14">
        <v>9</v>
      </c>
      <c r="AI78" s="14">
        <v>0.159</v>
      </c>
      <c r="AJ78" s="14">
        <v>1.267</v>
      </c>
      <c r="AK78" s="14">
        <v>6</v>
      </c>
      <c r="AL78" s="14">
        <v>0.505</v>
      </c>
      <c r="AM78" s="7"/>
      <c r="AN78" s="15"/>
      <c r="AO78" s="15"/>
      <c r="AP78" s="7"/>
      <c r="AQ78" s="7"/>
      <c r="AR78" s="7"/>
      <c r="AS78" s="7"/>
      <c r="AT78" s="7"/>
      <c r="AU78" s="7"/>
      <c r="AV78" s="7"/>
      <c r="AW78" s="7"/>
      <c r="AX78" s="7"/>
      <c r="AY78" s="7"/>
      <c r="AZ78" s="8"/>
      <c r="BA78" s="1"/>
      <c r="BB78" s="7"/>
      <c r="BC78" s="9" t="s">
        <v>82</v>
      </c>
      <c r="BD78" s="9" t="s">
        <v>82</v>
      </c>
      <c r="BE78" s="10" t="str">
        <f t="shared" si="4"/>
        <v>subtropic</v>
      </c>
      <c r="BF78" s="11"/>
    </row>
    <row r="79" ht="28.5" spans="1:58">
      <c r="A79">
        <v>95</v>
      </c>
      <c r="B79" t="s">
        <v>525</v>
      </c>
      <c r="C79" t="s">
        <v>528</v>
      </c>
      <c r="D79">
        <v>2020</v>
      </c>
      <c r="E79" s="12" t="s">
        <v>529</v>
      </c>
      <c r="F79" t="s">
        <v>530</v>
      </c>
      <c r="G79">
        <v>60.17</v>
      </c>
      <c r="H79">
        <v>24.94</v>
      </c>
      <c r="I79">
        <v>26</v>
      </c>
      <c r="J79" t="s">
        <v>181</v>
      </c>
      <c r="K79" t="s">
        <v>182</v>
      </c>
      <c r="L79" t="s">
        <v>183</v>
      </c>
      <c r="M79" t="s">
        <v>277</v>
      </c>
      <c r="N79" t="s">
        <v>278</v>
      </c>
      <c r="O79" t="s">
        <v>277</v>
      </c>
      <c r="P79" t="s">
        <v>279</v>
      </c>
      <c r="Q79" t="s">
        <v>280</v>
      </c>
      <c r="R79" t="s">
        <v>75</v>
      </c>
      <c r="S79" s="1" t="s">
        <v>531</v>
      </c>
      <c r="T79" s="1" t="s">
        <v>172</v>
      </c>
      <c r="U79" s="1" t="s">
        <v>172</v>
      </c>
      <c r="V79" s="1" t="s">
        <v>325</v>
      </c>
      <c r="W79" s="13">
        <v>14</v>
      </c>
      <c r="X79" s="13" t="s">
        <v>79</v>
      </c>
      <c r="Y79" s="13" t="s">
        <v>80</v>
      </c>
      <c r="Z79" s="3">
        <v>3.289</v>
      </c>
      <c r="AA79" s="3">
        <v>5</v>
      </c>
      <c r="AB79" s="3">
        <v>1.765</v>
      </c>
      <c r="AC79" s="4">
        <v>2.06</v>
      </c>
      <c r="AD79" s="3">
        <v>3</v>
      </c>
      <c r="AE79" s="3">
        <v>0.83</v>
      </c>
      <c r="AF79" s="5"/>
      <c r="AG79" s="14"/>
      <c r="AH79" s="14"/>
      <c r="AI79" s="14"/>
      <c r="AJ79" s="14"/>
      <c r="AK79" s="14"/>
      <c r="AL79" s="14"/>
      <c r="AM79" s="7"/>
      <c r="AN79" s="15"/>
      <c r="AO79" s="15"/>
      <c r="AP79" s="7"/>
      <c r="AQ79" s="7"/>
      <c r="AR79" s="7"/>
      <c r="AS79" s="7"/>
      <c r="AT79" s="7"/>
      <c r="AU79" s="7"/>
      <c r="AV79" s="7"/>
      <c r="AW79" s="7"/>
      <c r="AX79" s="7"/>
      <c r="AY79" s="7"/>
      <c r="AZ79" s="8"/>
      <c r="BA79" s="1"/>
      <c r="BB79" s="7"/>
      <c r="BC79" s="9" t="s">
        <v>82</v>
      </c>
      <c r="BD79" s="9" t="s">
        <v>82</v>
      </c>
      <c r="BE79" s="10" t="str">
        <f t="shared" si="4"/>
        <v>arctic</v>
      </c>
      <c r="BF79" s="11"/>
    </row>
    <row r="80" ht="28.5" spans="1:58">
      <c r="A80">
        <v>96</v>
      </c>
      <c r="B80" t="s">
        <v>532</v>
      </c>
      <c r="C80" t="s">
        <v>535</v>
      </c>
      <c r="D80">
        <v>2020</v>
      </c>
      <c r="E80" s="12" t="s">
        <v>536</v>
      </c>
      <c r="F80" t="s">
        <v>68</v>
      </c>
      <c r="G80">
        <v>37</v>
      </c>
      <c r="H80">
        <v>112</v>
      </c>
      <c r="I80">
        <v>21</v>
      </c>
      <c r="J80" t="s">
        <v>69</v>
      </c>
      <c r="K80" t="s">
        <v>70</v>
      </c>
      <c r="L80" t="s">
        <v>71</v>
      </c>
      <c r="M80" t="s">
        <v>72</v>
      </c>
      <c r="N80" t="s">
        <v>72</v>
      </c>
      <c r="O80" t="s">
        <v>72</v>
      </c>
      <c r="P80" t="s">
        <v>73</v>
      </c>
      <c r="Q80" t="s">
        <v>74</v>
      </c>
      <c r="R80" t="s">
        <v>75</v>
      </c>
      <c r="S80" s="1" t="s">
        <v>537</v>
      </c>
      <c r="T80" s="1" t="s">
        <v>172</v>
      </c>
      <c r="U80" s="1" t="s">
        <v>172</v>
      </c>
      <c r="V80" s="1" t="s">
        <v>538</v>
      </c>
      <c r="W80" s="13">
        <v>80</v>
      </c>
      <c r="X80" s="13" t="s">
        <v>119</v>
      </c>
      <c r="Y80" s="13" t="s">
        <v>80</v>
      </c>
      <c r="Z80" s="20">
        <v>7.655346</v>
      </c>
      <c r="AA80" s="3">
        <v>9</v>
      </c>
      <c r="AB80" s="20">
        <v>3.305</v>
      </c>
      <c r="AC80" s="4">
        <v>0.615</v>
      </c>
      <c r="AD80" s="3">
        <v>4</v>
      </c>
      <c r="AE80" s="20">
        <v>0.412</v>
      </c>
      <c r="AF80" s="5" t="s">
        <v>81</v>
      </c>
      <c r="AG80" s="14">
        <v>1.756</v>
      </c>
      <c r="AH80" s="14">
        <v>9</v>
      </c>
      <c r="AI80" s="14">
        <v>0.304</v>
      </c>
      <c r="AJ80" s="14">
        <v>0.279</v>
      </c>
      <c r="AK80" s="14">
        <v>5</v>
      </c>
      <c r="AL80" s="14">
        <v>0.288</v>
      </c>
      <c r="AM80" s="7"/>
      <c r="AN80" s="15"/>
      <c r="AO80" s="15"/>
      <c r="AP80" s="7"/>
      <c r="AQ80" s="7"/>
      <c r="AR80" s="7"/>
      <c r="AS80" s="7"/>
      <c r="AT80" s="7"/>
      <c r="AU80" s="7"/>
      <c r="AV80" s="7"/>
      <c r="AW80" s="7"/>
      <c r="AX80" s="7"/>
      <c r="AY80" s="7"/>
      <c r="AZ80" s="8"/>
      <c r="BA80" s="1"/>
      <c r="BB80" s="7"/>
      <c r="BC80" s="9" t="s">
        <v>82</v>
      </c>
      <c r="BD80" s="9" t="s">
        <v>82</v>
      </c>
      <c r="BE80" s="10" t="str">
        <f t="shared" si="4"/>
        <v>subtropic</v>
      </c>
      <c r="BF80" s="11"/>
    </row>
    <row r="81" ht="28.5" spans="1:58">
      <c r="A81">
        <v>97</v>
      </c>
      <c r="B81" t="s">
        <v>539</v>
      </c>
      <c r="C81" t="s">
        <v>542</v>
      </c>
      <c r="D81">
        <v>2020</v>
      </c>
      <c r="E81" s="12" t="s">
        <v>543</v>
      </c>
      <c r="F81" t="s">
        <v>68</v>
      </c>
      <c r="G81">
        <v>23.0207</v>
      </c>
      <c r="H81">
        <v>113.7518</v>
      </c>
      <c r="I81">
        <v>11</v>
      </c>
      <c r="J81" t="s">
        <v>111</v>
      </c>
      <c r="K81" t="s">
        <v>70</v>
      </c>
      <c r="L81" t="s">
        <v>71</v>
      </c>
      <c r="M81" t="s">
        <v>544</v>
      </c>
      <c r="N81" t="s">
        <v>278</v>
      </c>
      <c r="O81" t="s">
        <v>218</v>
      </c>
      <c r="P81" t="s">
        <v>545</v>
      </c>
      <c r="Q81" t="s">
        <v>280</v>
      </c>
      <c r="R81" t="s">
        <v>75</v>
      </c>
      <c r="S81" s="1" t="s">
        <v>344</v>
      </c>
      <c r="T81" s="1" t="s">
        <v>344</v>
      </c>
      <c r="U81" s="1" t="s">
        <v>344</v>
      </c>
      <c r="V81" s="1" t="s">
        <v>344</v>
      </c>
      <c r="W81" s="13">
        <v>56.5</v>
      </c>
      <c r="X81" s="13" t="s">
        <v>119</v>
      </c>
      <c r="Y81" s="13" t="s">
        <v>80</v>
      </c>
      <c r="Z81" s="3">
        <v>8.487</v>
      </c>
      <c r="AA81" s="3">
        <v>6</v>
      </c>
      <c r="AB81" s="3">
        <v>3.084</v>
      </c>
      <c r="AC81" s="4">
        <v>7.766</v>
      </c>
      <c r="AD81" s="3">
        <v>8</v>
      </c>
      <c r="AE81" s="3">
        <v>4.92</v>
      </c>
      <c r="AF81" s="5"/>
      <c r="AG81" s="14"/>
      <c r="AH81" s="14"/>
      <c r="AI81" s="14"/>
      <c r="AJ81" s="14"/>
      <c r="AK81" s="14"/>
      <c r="AL81" s="14"/>
      <c r="AM81" s="7"/>
      <c r="AN81" s="15"/>
      <c r="AO81" s="15"/>
      <c r="AP81" s="7"/>
      <c r="AQ81" s="7"/>
      <c r="AR81" s="7"/>
      <c r="AS81" s="7"/>
      <c r="AT81" s="7"/>
      <c r="AU81" s="7"/>
      <c r="AV81" s="7"/>
      <c r="AW81" s="7"/>
      <c r="AX81" s="7"/>
      <c r="AY81" s="7"/>
      <c r="AZ81" s="8" t="s">
        <v>123</v>
      </c>
      <c r="BA81" s="1"/>
      <c r="BB81" s="7"/>
      <c r="BC81" s="9" t="s">
        <v>125</v>
      </c>
      <c r="BD81" s="9" t="s">
        <v>126</v>
      </c>
      <c r="BE81" s="10" t="str">
        <f t="shared" si="4"/>
        <v>tropic</v>
      </c>
      <c r="BF81" s="11"/>
    </row>
    <row r="82" ht="28.5" spans="1:58">
      <c r="A82">
        <v>100</v>
      </c>
      <c r="B82" t="s">
        <v>547</v>
      </c>
      <c r="C82" t="s">
        <v>550</v>
      </c>
      <c r="D82">
        <v>2020</v>
      </c>
      <c r="E82" s="12" t="s">
        <v>551</v>
      </c>
      <c r="F82" t="s">
        <v>276</v>
      </c>
      <c r="G82">
        <v>40.0155</v>
      </c>
      <c r="H82">
        <v>-82.9932</v>
      </c>
      <c r="I82">
        <v>25</v>
      </c>
      <c r="J82" t="s">
        <v>216</v>
      </c>
      <c r="K82" t="s">
        <v>182</v>
      </c>
      <c r="L82" t="s">
        <v>183</v>
      </c>
      <c r="M82" t="s">
        <v>72</v>
      </c>
      <c r="N82" t="s">
        <v>72</v>
      </c>
      <c r="O82" t="s">
        <v>72</v>
      </c>
      <c r="P82" t="s">
        <v>73</v>
      </c>
      <c r="Q82" t="s">
        <v>74</v>
      </c>
      <c r="R82" t="s">
        <v>75</v>
      </c>
      <c r="S82" s="1" t="s">
        <v>117</v>
      </c>
      <c r="T82" s="1" t="s">
        <v>117</v>
      </c>
      <c r="U82" s="1" t="s">
        <v>117</v>
      </c>
      <c r="V82" s="1" t="s">
        <v>118</v>
      </c>
      <c r="W82" s="13">
        <v>20</v>
      </c>
      <c r="X82" s="13" t="s">
        <v>79</v>
      </c>
      <c r="Y82" s="13" t="s">
        <v>80</v>
      </c>
      <c r="Z82" s="3">
        <v>12</v>
      </c>
      <c r="AA82" s="3">
        <v>3</v>
      </c>
      <c r="AB82" s="3">
        <v>3</v>
      </c>
      <c r="AC82" s="4">
        <v>5.5</v>
      </c>
      <c r="AD82" s="3">
        <v>4</v>
      </c>
      <c r="AE82" s="3">
        <v>0.577</v>
      </c>
      <c r="AF82" s="5" t="s">
        <v>81</v>
      </c>
      <c r="AG82" s="14">
        <v>1.6913</v>
      </c>
      <c r="AH82" s="14">
        <v>3</v>
      </c>
      <c r="AI82" s="14">
        <v>0.297</v>
      </c>
      <c r="AJ82" s="14">
        <v>1.046</v>
      </c>
      <c r="AK82" s="14">
        <v>4</v>
      </c>
      <c r="AL82" s="14">
        <v>0.067</v>
      </c>
      <c r="AM82" s="7"/>
      <c r="AN82" s="15"/>
      <c r="AO82" s="15"/>
      <c r="AP82" s="7"/>
      <c r="AQ82" s="7"/>
      <c r="AR82" s="7"/>
      <c r="AS82" s="7"/>
      <c r="AT82" s="7"/>
      <c r="AU82" s="7"/>
      <c r="AV82" s="7"/>
      <c r="AW82" s="7"/>
      <c r="AX82" s="7"/>
      <c r="AY82" s="7"/>
      <c r="AZ82" s="8"/>
      <c r="BA82" s="1"/>
      <c r="BB82" s="7"/>
      <c r="BC82" s="9" t="s">
        <v>82</v>
      </c>
      <c r="BD82" s="9" t="s">
        <v>82</v>
      </c>
      <c r="BE82" s="10" t="str">
        <f t="shared" si="4"/>
        <v>temperate</v>
      </c>
      <c r="BF82" s="11"/>
    </row>
    <row r="83" spans="1:58">
      <c r="A83">
        <v>101</v>
      </c>
      <c r="B83" t="s">
        <v>552</v>
      </c>
      <c r="C83" t="s">
        <v>555</v>
      </c>
      <c r="D83">
        <v>2020</v>
      </c>
      <c r="E83" s="12" t="s">
        <v>556</v>
      </c>
      <c r="F83" t="s">
        <v>208</v>
      </c>
      <c r="G83">
        <v>-35.1</v>
      </c>
      <c r="H83">
        <v>-57.5</v>
      </c>
      <c r="I83">
        <v>14</v>
      </c>
      <c r="J83" t="s">
        <v>89</v>
      </c>
      <c r="K83" t="s">
        <v>70</v>
      </c>
      <c r="L83" t="s">
        <v>146</v>
      </c>
      <c r="M83" t="s">
        <v>147</v>
      </c>
      <c r="N83" t="s">
        <v>72</v>
      </c>
      <c r="O83" t="s">
        <v>147</v>
      </c>
      <c r="P83" t="s">
        <v>148</v>
      </c>
      <c r="Q83" t="s">
        <v>74</v>
      </c>
      <c r="R83" t="s">
        <v>75</v>
      </c>
      <c r="S83" s="1" t="s">
        <v>117</v>
      </c>
      <c r="T83" s="1" t="s">
        <v>117</v>
      </c>
      <c r="U83" s="1" t="s">
        <v>117</v>
      </c>
      <c r="V83" s="1" t="s">
        <v>118</v>
      </c>
      <c r="W83" s="13">
        <v>32</v>
      </c>
      <c r="X83" s="13" t="s">
        <v>79</v>
      </c>
      <c r="Y83" s="13" t="s">
        <v>80</v>
      </c>
      <c r="Z83" s="3">
        <v>13.776</v>
      </c>
      <c r="AA83" s="3">
        <v>4</v>
      </c>
      <c r="AB83" s="3">
        <v>1.713</v>
      </c>
      <c r="AC83" s="4">
        <v>2.043</v>
      </c>
      <c r="AD83" s="3">
        <v>2</v>
      </c>
      <c r="AE83" s="3">
        <v>1.318</v>
      </c>
      <c r="AF83" s="5" t="s">
        <v>81</v>
      </c>
      <c r="AG83" s="14">
        <v>1.63</v>
      </c>
      <c r="AH83" s="14">
        <v>4</v>
      </c>
      <c r="AI83" s="14">
        <v>0.183</v>
      </c>
      <c r="AJ83" s="14">
        <v>0.302</v>
      </c>
      <c r="AK83" s="14">
        <v>2</v>
      </c>
      <c r="AL83" s="14">
        <v>0.421</v>
      </c>
      <c r="AM83" s="7"/>
      <c r="AN83" s="15"/>
      <c r="AO83" s="15"/>
      <c r="AP83" s="7"/>
      <c r="AQ83" s="7"/>
      <c r="AR83" s="7"/>
      <c r="AS83" s="7"/>
      <c r="AT83" s="7"/>
      <c r="AU83" s="7"/>
      <c r="AV83" s="7"/>
      <c r="AW83" s="7"/>
      <c r="AX83" s="7"/>
      <c r="AY83" s="7"/>
      <c r="AZ83" s="8"/>
      <c r="BA83" s="1"/>
      <c r="BB83" s="7"/>
      <c r="BC83" s="9" t="s">
        <v>82</v>
      </c>
      <c r="BD83" s="9" t="s">
        <v>82</v>
      </c>
      <c r="BE83" s="10" t="str">
        <f t="shared" si="4"/>
        <v>subtropic</v>
      </c>
      <c r="BF83" s="11"/>
    </row>
    <row r="84" ht="42.75" spans="1:58">
      <c r="A84">
        <v>102</v>
      </c>
      <c r="B84" t="s">
        <v>557</v>
      </c>
      <c r="C84" t="s">
        <v>560</v>
      </c>
      <c r="D84">
        <v>2020</v>
      </c>
      <c r="E84" s="12" t="s">
        <v>561</v>
      </c>
      <c r="F84" t="s">
        <v>356</v>
      </c>
      <c r="G84">
        <v>-23.8416</v>
      </c>
      <c r="H84">
        <v>151.2498</v>
      </c>
      <c r="I84">
        <v>3</v>
      </c>
      <c r="J84" t="s">
        <v>388</v>
      </c>
      <c r="K84" t="s">
        <v>182</v>
      </c>
      <c r="L84" t="s">
        <v>358</v>
      </c>
      <c r="M84" t="s">
        <v>562</v>
      </c>
      <c r="N84" t="s">
        <v>113</v>
      </c>
      <c r="O84" t="s">
        <v>114</v>
      </c>
      <c r="P84" t="s">
        <v>563</v>
      </c>
      <c r="Q84" t="s">
        <v>116</v>
      </c>
      <c r="R84" t="s">
        <v>75</v>
      </c>
      <c r="S84" s="1" t="s">
        <v>564</v>
      </c>
      <c r="T84" s="1" t="s">
        <v>172</v>
      </c>
      <c r="U84" s="1" t="s">
        <v>281</v>
      </c>
      <c r="V84" s="1" t="s">
        <v>538</v>
      </c>
      <c r="W84" s="13">
        <v>93.8</v>
      </c>
      <c r="X84" s="13" t="s">
        <v>119</v>
      </c>
      <c r="Y84" s="13" t="s">
        <v>80</v>
      </c>
      <c r="Z84" s="3">
        <v>6.667</v>
      </c>
      <c r="AA84" s="3">
        <v>3</v>
      </c>
      <c r="AB84" s="3">
        <v>0.577</v>
      </c>
      <c r="AC84" s="4">
        <v>5.125</v>
      </c>
      <c r="AD84" s="3">
        <v>8</v>
      </c>
      <c r="AE84" s="3">
        <v>1.727</v>
      </c>
      <c r="AF84" s="5"/>
      <c r="AG84" s="14"/>
      <c r="AH84" s="14"/>
      <c r="AI84" s="14"/>
      <c r="AJ84" s="14"/>
      <c r="AK84" s="14"/>
      <c r="AL84" s="14"/>
      <c r="AM84" s="7"/>
      <c r="AN84" s="15"/>
      <c r="AO84" s="15"/>
      <c r="AP84" s="7"/>
      <c r="AQ84" s="7"/>
      <c r="AR84" s="7"/>
      <c r="AS84" s="7"/>
      <c r="AT84" s="7"/>
      <c r="AU84" s="7"/>
      <c r="AV84" s="7"/>
      <c r="AW84" s="7"/>
      <c r="AX84" s="7"/>
      <c r="AY84" s="7"/>
      <c r="AZ84" s="8"/>
      <c r="BA84" s="1"/>
      <c r="BB84" s="7"/>
      <c r="BC84" s="9" t="s">
        <v>82</v>
      </c>
      <c r="BD84" s="9" t="s">
        <v>82</v>
      </c>
      <c r="BE84" s="10" t="str">
        <f t="shared" si="4"/>
        <v>subtropic</v>
      </c>
      <c r="BF84" s="11" t="s">
        <v>1029</v>
      </c>
    </row>
    <row r="85" ht="42.75" spans="1:58">
      <c r="A85">
        <v>103</v>
      </c>
      <c r="B85" t="s">
        <v>557</v>
      </c>
      <c r="C85" t="s">
        <v>560</v>
      </c>
      <c r="D85">
        <v>2020</v>
      </c>
      <c r="E85" s="12" t="s">
        <v>561</v>
      </c>
      <c r="F85" t="s">
        <v>356</v>
      </c>
      <c r="G85">
        <v>-23.8416</v>
      </c>
      <c r="H85">
        <v>151.2498</v>
      </c>
      <c r="I85">
        <v>3</v>
      </c>
      <c r="J85" t="s">
        <v>388</v>
      </c>
      <c r="K85" t="s">
        <v>182</v>
      </c>
      <c r="L85" t="s">
        <v>358</v>
      </c>
      <c r="M85" t="s">
        <v>562</v>
      </c>
      <c r="N85" t="s">
        <v>113</v>
      </c>
      <c r="O85" t="s">
        <v>114</v>
      </c>
      <c r="P85" t="s">
        <v>563</v>
      </c>
      <c r="Q85" t="s">
        <v>116</v>
      </c>
      <c r="R85" t="s">
        <v>75</v>
      </c>
      <c r="S85" s="1" t="s">
        <v>117</v>
      </c>
      <c r="T85" s="1" t="s">
        <v>117</v>
      </c>
      <c r="U85" s="1" t="s">
        <v>281</v>
      </c>
      <c r="V85" s="1" t="s">
        <v>538</v>
      </c>
      <c r="W85" s="13">
        <v>93.8</v>
      </c>
      <c r="X85" s="13" t="s">
        <v>119</v>
      </c>
      <c r="Y85" s="13" t="s">
        <v>80</v>
      </c>
      <c r="Z85" s="3">
        <v>24.333</v>
      </c>
      <c r="AA85" s="3">
        <v>3</v>
      </c>
      <c r="AB85" s="3">
        <v>6.658</v>
      </c>
      <c r="AC85" s="4">
        <v>21.75</v>
      </c>
      <c r="AD85" s="3">
        <v>8</v>
      </c>
      <c r="AE85" s="3">
        <v>7.005</v>
      </c>
      <c r="AF85" s="5"/>
      <c r="AG85" s="14"/>
      <c r="AH85" s="14"/>
      <c r="AI85" s="14"/>
      <c r="AJ85" s="14"/>
      <c r="AK85" s="14"/>
      <c r="AL85" s="14"/>
      <c r="AM85" s="7"/>
      <c r="AN85" s="15"/>
      <c r="AO85" s="15"/>
      <c r="AP85" s="7"/>
      <c r="AQ85" s="7"/>
      <c r="AR85" s="7"/>
      <c r="AS85" s="7"/>
      <c r="AT85" s="7"/>
      <c r="AU85" s="7"/>
      <c r="AV85" s="7"/>
      <c r="AW85" s="7"/>
      <c r="AX85" s="7"/>
      <c r="AY85" s="7"/>
      <c r="AZ85" s="8"/>
      <c r="BA85" s="1"/>
      <c r="BB85" s="7"/>
      <c r="BC85" s="9" t="s">
        <v>82</v>
      </c>
      <c r="BD85" s="9" t="s">
        <v>82</v>
      </c>
      <c r="BE85" s="10" t="str">
        <f t="shared" si="4"/>
        <v>subtropic</v>
      </c>
      <c r="BF85" s="11" t="s">
        <v>1029</v>
      </c>
    </row>
    <row r="86" ht="57" spans="1:58">
      <c r="A86">
        <v>104</v>
      </c>
      <c r="B86" t="s">
        <v>565</v>
      </c>
      <c r="C86" t="s">
        <v>568</v>
      </c>
      <c r="D86">
        <v>2020</v>
      </c>
      <c r="E86" s="12" t="s">
        <v>569</v>
      </c>
      <c r="F86" t="s">
        <v>145</v>
      </c>
      <c r="G86">
        <v>-33.5</v>
      </c>
      <c r="H86">
        <v>-52.5</v>
      </c>
      <c r="I86">
        <v>14</v>
      </c>
      <c r="J86" t="s">
        <v>89</v>
      </c>
      <c r="K86" t="s">
        <v>70</v>
      </c>
      <c r="L86" t="s">
        <v>146</v>
      </c>
      <c r="M86" t="s">
        <v>570</v>
      </c>
      <c r="N86" t="s">
        <v>113</v>
      </c>
      <c r="O86" t="s">
        <v>114</v>
      </c>
      <c r="P86" t="s">
        <v>115</v>
      </c>
      <c r="Q86" t="s">
        <v>116</v>
      </c>
      <c r="R86" t="s">
        <v>75</v>
      </c>
      <c r="S86" s="1" t="s">
        <v>571</v>
      </c>
      <c r="T86" s="1" t="s">
        <v>172</v>
      </c>
      <c r="U86" s="1" t="s">
        <v>286</v>
      </c>
      <c r="V86" s="1" t="s">
        <v>287</v>
      </c>
      <c r="W86" s="13">
        <v>197.5</v>
      </c>
      <c r="X86" s="13" t="s">
        <v>174</v>
      </c>
      <c r="Y86" s="13" t="s">
        <v>94</v>
      </c>
      <c r="Z86" s="3">
        <v>14.4</v>
      </c>
      <c r="AA86" s="3">
        <v>10</v>
      </c>
      <c r="AB86" s="3">
        <v>5.31</v>
      </c>
      <c r="AC86" s="4">
        <v>22</v>
      </c>
      <c r="AD86" s="3">
        <v>10</v>
      </c>
      <c r="AE86" s="3">
        <v>7.65</v>
      </c>
      <c r="AF86" s="5" t="s">
        <v>81</v>
      </c>
      <c r="AG86" s="14">
        <v>2.156</v>
      </c>
      <c r="AH86" s="14">
        <v>10</v>
      </c>
      <c r="AI86" s="14">
        <v>0.403</v>
      </c>
      <c r="AJ86" s="14">
        <v>2.015</v>
      </c>
      <c r="AK86" s="14">
        <v>10</v>
      </c>
      <c r="AL86" s="14">
        <v>0.592</v>
      </c>
      <c r="AM86" s="7"/>
      <c r="AN86" s="15"/>
      <c r="AO86" s="15"/>
      <c r="AP86" s="7"/>
      <c r="AQ86" s="7"/>
      <c r="AR86" s="7"/>
      <c r="AS86" s="7"/>
      <c r="AT86" s="7"/>
      <c r="AU86" s="7"/>
      <c r="AV86" s="7"/>
      <c r="AW86" s="7"/>
      <c r="AX86" s="7"/>
      <c r="AY86" s="7"/>
      <c r="AZ86" s="8"/>
      <c r="BA86" s="1"/>
      <c r="BB86" s="7"/>
      <c r="BC86" s="9" t="s">
        <v>82</v>
      </c>
      <c r="BD86" s="9" t="s">
        <v>82</v>
      </c>
      <c r="BE86" s="10" t="str">
        <f t="shared" si="4"/>
        <v>subtropic</v>
      </c>
      <c r="BF86" s="11"/>
    </row>
    <row r="87" ht="57" spans="1:58">
      <c r="A87">
        <v>105</v>
      </c>
      <c r="B87" t="s">
        <v>572</v>
      </c>
      <c r="C87" t="s">
        <v>575</v>
      </c>
      <c r="D87">
        <v>2020</v>
      </c>
      <c r="E87" s="12" t="s">
        <v>576</v>
      </c>
      <c r="F87" t="s">
        <v>443</v>
      </c>
      <c r="G87">
        <v>6.4342</v>
      </c>
      <c r="H87">
        <v>5.9304</v>
      </c>
      <c r="I87">
        <v>3</v>
      </c>
      <c r="J87" t="s">
        <v>388</v>
      </c>
      <c r="K87" t="s">
        <v>444</v>
      </c>
      <c r="L87" t="s">
        <v>445</v>
      </c>
      <c r="M87" t="s">
        <v>72</v>
      </c>
      <c r="N87" t="s">
        <v>72</v>
      </c>
      <c r="O87" t="s">
        <v>72</v>
      </c>
      <c r="P87" t="s">
        <v>73</v>
      </c>
      <c r="Q87" t="s">
        <v>74</v>
      </c>
      <c r="R87" t="s">
        <v>75</v>
      </c>
      <c r="S87" s="1" t="s">
        <v>172</v>
      </c>
      <c r="T87" s="1" t="s">
        <v>172</v>
      </c>
      <c r="U87" s="1" t="s">
        <v>172</v>
      </c>
      <c r="V87" s="1" t="s">
        <v>173</v>
      </c>
      <c r="W87" s="13">
        <v>188</v>
      </c>
      <c r="X87" s="13" t="s">
        <v>174</v>
      </c>
      <c r="Y87" s="13" t="s">
        <v>94</v>
      </c>
      <c r="Z87" s="3">
        <v>21.818</v>
      </c>
      <c r="AA87" s="3">
        <v>11</v>
      </c>
      <c r="AB87" s="3">
        <v>5.23</v>
      </c>
      <c r="AC87" s="4">
        <v>20.111</v>
      </c>
      <c r="AD87" s="3">
        <v>9</v>
      </c>
      <c r="AE87" s="3">
        <v>5.56</v>
      </c>
      <c r="AF87" s="5" t="s">
        <v>81</v>
      </c>
      <c r="AG87" s="14">
        <v>2.511</v>
      </c>
      <c r="AH87" s="14">
        <v>11</v>
      </c>
      <c r="AI87" s="14">
        <v>0.403</v>
      </c>
      <c r="AJ87" s="14">
        <v>2.393</v>
      </c>
      <c r="AK87" s="14">
        <v>9</v>
      </c>
      <c r="AL87" s="14">
        <v>0.434</v>
      </c>
      <c r="AM87" s="7"/>
      <c r="AN87" s="15"/>
      <c r="AO87" s="15"/>
      <c r="AP87" s="7"/>
      <c r="AQ87" s="7"/>
      <c r="AR87" s="7"/>
      <c r="AS87" s="7"/>
      <c r="AT87" s="7"/>
      <c r="AU87" s="7"/>
      <c r="AV87" s="7"/>
      <c r="AW87" s="7"/>
      <c r="AX87" s="7"/>
      <c r="AY87" s="7"/>
      <c r="AZ87" s="8"/>
      <c r="BA87" s="1"/>
      <c r="BB87" s="7"/>
      <c r="BC87" s="9" t="s">
        <v>577</v>
      </c>
      <c r="BD87" s="9" t="s">
        <v>126</v>
      </c>
      <c r="BE87" s="10" t="str">
        <f t="shared" si="4"/>
        <v>tropic</v>
      </c>
      <c r="BF87" s="11"/>
    </row>
    <row r="88" ht="42.75" spans="1:58">
      <c r="A88">
        <v>106</v>
      </c>
      <c r="B88" t="s">
        <v>578</v>
      </c>
      <c r="C88" t="s">
        <v>581</v>
      </c>
      <c r="D88">
        <v>2020</v>
      </c>
      <c r="E88" s="12" t="s">
        <v>582</v>
      </c>
      <c r="F88" t="s">
        <v>68</v>
      </c>
      <c r="G88">
        <v>29</v>
      </c>
      <c r="H88">
        <v>119</v>
      </c>
      <c r="I88">
        <v>14</v>
      </c>
      <c r="J88" t="s">
        <v>89</v>
      </c>
      <c r="K88" t="s">
        <v>70</v>
      </c>
      <c r="L88" t="s">
        <v>71</v>
      </c>
      <c r="M88" t="s">
        <v>72</v>
      </c>
      <c r="N88" t="s">
        <v>72</v>
      </c>
      <c r="O88" t="s">
        <v>72</v>
      </c>
      <c r="P88" t="s">
        <v>73</v>
      </c>
      <c r="Q88" t="s">
        <v>74</v>
      </c>
      <c r="R88" t="s">
        <v>90</v>
      </c>
      <c r="S88" s="1" t="s">
        <v>238</v>
      </c>
      <c r="T88" s="1" t="s">
        <v>240</v>
      </c>
      <c r="U88" s="1" t="s">
        <v>241</v>
      </c>
      <c r="V88" s="1" t="s">
        <v>241</v>
      </c>
      <c r="W88" s="13">
        <v>229</v>
      </c>
      <c r="X88" s="13" t="s">
        <v>93</v>
      </c>
      <c r="Y88" s="13" t="s">
        <v>94</v>
      </c>
      <c r="Z88" s="3"/>
      <c r="AA88" s="3"/>
      <c r="AB88" s="3"/>
      <c r="AC88" s="3"/>
      <c r="AD88" s="3"/>
      <c r="AE88" s="3"/>
      <c r="AF88" s="5" t="s">
        <v>81</v>
      </c>
      <c r="AG88" s="14">
        <v>3.905</v>
      </c>
      <c r="AH88" s="14">
        <v>30</v>
      </c>
      <c r="AI88" s="14">
        <v>0.295</v>
      </c>
      <c r="AJ88" s="14">
        <v>3.124</v>
      </c>
      <c r="AK88" s="14">
        <v>18</v>
      </c>
      <c r="AL88" s="14">
        <v>0.376</v>
      </c>
      <c r="AM88" s="7"/>
      <c r="AN88" s="15"/>
      <c r="AO88" s="15"/>
      <c r="AP88" s="7"/>
      <c r="AQ88" s="7"/>
      <c r="AR88" s="7"/>
      <c r="AS88" s="7"/>
      <c r="AT88" s="7"/>
      <c r="AU88" s="7"/>
      <c r="AV88" s="7"/>
      <c r="AW88" s="7"/>
      <c r="AX88" s="7"/>
      <c r="AY88" s="7"/>
      <c r="AZ88" s="8"/>
      <c r="BA88" s="1"/>
      <c r="BB88" s="7"/>
      <c r="BC88" s="9" t="s">
        <v>82</v>
      </c>
      <c r="BD88" s="9" t="s">
        <v>82</v>
      </c>
      <c r="BE88" s="10" t="str">
        <f t="shared" si="4"/>
        <v>subtropic</v>
      </c>
      <c r="BF88" s="11"/>
    </row>
    <row r="89" ht="28.5" spans="1:58">
      <c r="A89">
        <v>107</v>
      </c>
      <c r="B89" t="s">
        <v>583</v>
      </c>
      <c r="C89" t="s">
        <v>586</v>
      </c>
      <c r="D89">
        <v>2020</v>
      </c>
      <c r="E89" s="12" t="s">
        <v>587</v>
      </c>
      <c r="F89" t="s">
        <v>276</v>
      </c>
      <c r="G89">
        <v>40.4173</v>
      </c>
      <c r="H89">
        <v>-82.9071</v>
      </c>
      <c r="I89">
        <v>25</v>
      </c>
      <c r="J89" t="s">
        <v>216</v>
      </c>
      <c r="K89" t="s">
        <v>182</v>
      </c>
      <c r="L89" t="s">
        <v>183</v>
      </c>
      <c r="M89" t="s">
        <v>588</v>
      </c>
      <c r="N89" t="s">
        <v>267</v>
      </c>
      <c r="O89" t="s">
        <v>340</v>
      </c>
      <c r="P89" t="s">
        <v>495</v>
      </c>
      <c r="Q89" t="s">
        <v>74</v>
      </c>
      <c r="R89" t="s">
        <v>191</v>
      </c>
      <c r="S89" s="1" t="s">
        <v>191</v>
      </c>
      <c r="T89" s="1" t="s">
        <v>191</v>
      </c>
      <c r="U89" s="1" t="s">
        <v>191</v>
      </c>
      <c r="V89" s="1" t="s">
        <v>191</v>
      </c>
      <c r="W89" s="13">
        <v>412</v>
      </c>
      <c r="X89" s="13" t="s">
        <v>93</v>
      </c>
      <c r="Y89" s="13" t="s">
        <v>94</v>
      </c>
      <c r="Z89" s="4">
        <v>11.68</v>
      </c>
      <c r="AA89" s="3">
        <v>15</v>
      </c>
      <c r="AB89" s="3">
        <v>5.108</v>
      </c>
      <c r="AC89" s="3">
        <v>9.02</v>
      </c>
      <c r="AD89" s="3">
        <v>15</v>
      </c>
      <c r="AE89" s="3">
        <v>3.088</v>
      </c>
      <c r="AF89" s="5" t="s">
        <v>81</v>
      </c>
      <c r="AG89" s="14">
        <v>1.693</v>
      </c>
      <c r="AH89" s="14">
        <v>15</v>
      </c>
      <c r="AI89" s="14">
        <v>0.621</v>
      </c>
      <c r="AJ89" s="14">
        <v>1.407</v>
      </c>
      <c r="AK89" s="14">
        <v>15</v>
      </c>
      <c r="AL89" s="14">
        <v>0.452</v>
      </c>
      <c r="AM89" s="7"/>
      <c r="AN89" s="15"/>
      <c r="AO89" s="15"/>
      <c r="AP89" s="7"/>
      <c r="AQ89" s="7"/>
      <c r="AR89" s="7"/>
      <c r="AS89" s="7"/>
      <c r="AT89" s="7"/>
      <c r="AU89" s="7"/>
      <c r="AV89" s="7"/>
      <c r="AW89" s="7"/>
      <c r="AX89" s="7"/>
      <c r="AY89" s="7"/>
      <c r="AZ89" s="8"/>
      <c r="BA89" s="1"/>
      <c r="BB89" s="7"/>
      <c r="BC89" s="9" t="s">
        <v>82</v>
      </c>
      <c r="BD89" s="9" t="s">
        <v>82</v>
      </c>
      <c r="BE89" s="10" t="str">
        <f t="shared" si="4"/>
        <v>temperate</v>
      </c>
      <c r="BF89" s="11"/>
    </row>
    <row r="90" spans="1:58">
      <c r="A90">
        <v>108</v>
      </c>
      <c r="B90" t="s">
        <v>589</v>
      </c>
      <c r="C90" t="s">
        <v>592</v>
      </c>
      <c r="D90">
        <v>2019</v>
      </c>
      <c r="E90" s="12" t="s">
        <v>593</v>
      </c>
      <c r="F90" t="s">
        <v>68</v>
      </c>
      <c r="G90">
        <v>24.8833</v>
      </c>
      <c r="H90">
        <v>102.7</v>
      </c>
      <c r="I90">
        <v>12</v>
      </c>
      <c r="J90" t="s">
        <v>247</v>
      </c>
      <c r="K90" t="s">
        <v>70</v>
      </c>
      <c r="L90" t="s">
        <v>71</v>
      </c>
      <c r="M90" t="s">
        <v>217</v>
      </c>
      <c r="N90" t="s">
        <v>217</v>
      </c>
      <c r="O90" t="s">
        <v>340</v>
      </c>
      <c r="P90" t="s">
        <v>495</v>
      </c>
      <c r="Q90" t="s">
        <v>74</v>
      </c>
      <c r="R90" t="s">
        <v>75</v>
      </c>
      <c r="S90" s="1" t="s">
        <v>76</v>
      </c>
      <c r="T90" s="1" t="s">
        <v>76</v>
      </c>
      <c r="U90" s="1" t="s">
        <v>76</v>
      </c>
      <c r="V90" s="1" t="s">
        <v>78</v>
      </c>
      <c r="W90" s="13">
        <v>44</v>
      </c>
      <c r="X90" s="13" t="s">
        <v>79</v>
      </c>
      <c r="Y90" s="13" t="s">
        <v>80</v>
      </c>
      <c r="Z90" s="3">
        <v>33.101</v>
      </c>
      <c r="AA90" s="3">
        <v>14</v>
      </c>
      <c r="AB90" s="3">
        <v>9.24</v>
      </c>
      <c r="AC90" s="4">
        <v>20.398</v>
      </c>
      <c r="AD90" s="3">
        <v>6</v>
      </c>
      <c r="AE90" s="3">
        <v>8.761</v>
      </c>
      <c r="AF90" s="5" t="s">
        <v>81</v>
      </c>
      <c r="AG90" s="14">
        <v>2.038</v>
      </c>
      <c r="AH90" s="14">
        <v>14</v>
      </c>
      <c r="AI90" s="14">
        <v>0.676</v>
      </c>
      <c r="AJ90" s="14">
        <v>0.797</v>
      </c>
      <c r="AK90" s="14">
        <v>6</v>
      </c>
      <c r="AL90" s="14">
        <v>0.549</v>
      </c>
      <c r="AM90" s="7">
        <v>19</v>
      </c>
      <c r="AN90" s="15" t="s">
        <v>594</v>
      </c>
      <c r="AO90" s="15" t="s">
        <v>305</v>
      </c>
      <c r="AP90" s="7" t="s">
        <v>122</v>
      </c>
      <c r="AQ90" s="7">
        <v>0.093563</v>
      </c>
      <c r="AR90" s="7">
        <v>15</v>
      </c>
      <c r="AS90" s="7">
        <v>0.08779</v>
      </c>
      <c r="AT90" s="7">
        <v>0.377683</v>
      </c>
      <c r="AU90" s="7">
        <v>105</v>
      </c>
      <c r="AV90" s="7">
        <v>0.189087</v>
      </c>
      <c r="AW90" s="7">
        <v>0.372065</v>
      </c>
      <c r="AX90" s="7">
        <v>90</v>
      </c>
      <c r="AY90" s="7">
        <v>0.228534</v>
      </c>
      <c r="AZ90" s="8"/>
      <c r="BA90" s="1"/>
      <c r="BB90" s="7"/>
      <c r="BC90" s="9" t="s">
        <v>82</v>
      </c>
      <c r="BD90" s="9" t="s">
        <v>82</v>
      </c>
      <c r="BE90" s="10" t="str">
        <f t="shared" si="4"/>
        <v>subtropic</v>
      </c>
      <c r="BF90" s="11"/>
    </row>
    <row r="91" ht="42.75" spans="1:58">
      <c r="A91">
        <v>109</v>
      </c>
      <c r="B91" t="s">
        <v>596</v>
      </c>
      <c r="C91" t="s">
        <v>599</v>
      </c>
      <c r="D91">
        <v>2019</v>
      </c>
      <c r="E91" s="12" t="s">
        <v>600</v>
      </c>
      <c r="F91" t="s">
        <v>208</v>
      </c>
      <c r="G91">
        <v>-33.2</v>
      </c>
      <c r="H91">
        <v>-66.1</v>
      </c>
      <c r="I91">
        <v>7</v>
      </c>
      <c r="J91" t="s">
        <v>494</v>
      </c>
      <c r="K91" t="s">
        <v>70</v>
      </c>
      <c r="L91" t="s">
        <v>146</v>
      </c>
      <c r="M91" t="s">
        <v>72</v>
      </c>
      <c r="N91" t="s">
        <v>72</v>
      </c>
      <c r="O91" t="s">
        <v>72</v>
      </c>
      <c r="P91" t="s">
        <v>73</v>
      </c>
      <c r="Q91" t="s">
        <v>74</v>
      </c>
      <c r="R91" t="s">
        <v>75</v>
      </c>
      <c r="S91" s="1" t="s">
        <v>284</v>
      </c>
      <c r="T91" s="1" t="s">
        <v>284</v>
      </c>
      <c r="U91" s="1" t="s">
        <v>281</v>
      </c>
      <c r="V91" s="1" t="s">
        <v>390</v>
      </c>
      <c r="W91" s="13">
        <v>17</v>
      </c>
      <c r="X91" s="13" t="s">
        <v>79</v>
      </c>
      <c r="Y91" s="13" t="s">
        <v>80</v>
      </c>
      <c r="Z91" s="3">
        <v>3.25</v>
      </c>
      <c r="AA91" s="3">
        <v>4</v>
      </c>
      <c r="AB91" s="3">
        <v>0.957</v>
      </c>
      <c r="AC91" s="4">
        <v>3</v>
      </c>
      <c r="AD91" s="3">
        <v>4</v>
      </c>
      <c r="AE91" s="3">
        <v>0.816</v>
      </c>
      <c r="AF91" s="5"/>
      <c r="AG91" s="14"/>
      <c r="AH91" s="14"/>
      <c r="AI91" s="14"/>
      <c r="AJ91" s="14"/>
      <c r="AK91" s="14"/>
      <c r="AL91" s="14"/>
      <c r="AM91" s="7"/>
      <c r="AN91" s="15"/>
      <c r="AO91" s="15"/>
      <c r="AP91" s="7"/>
      <c r="AQ91" s="7"/>
      <c r="AR91" s="7"/>
      <c r="AS91" s="7"/>
      <c r="AT91" s="7"/>
      <c r="AU91" s="7"/>
      <c r="AV91" s="7"/>
      <c r="AW91" s="7"/>
      <c r="AX91" s="7"/>
      <c r="AY91" s="7"/>
      <c r="AZ91" s="8"/>
      <c r="BA91" s="1"/>
      <c r="BB91" s="7"/>
      <c r="BC91" s="9" t="s">
        <v>82</v>
      </c>
      <c r="BD91" s="9" t="s">
        <v>82</v>
      </c>
      <c r="BE91" s="10" t="str">
        <f t="shared" si="4"/>
        <v>subtropic</v>
      </c>
      <c r="BF91" s="11"/>
    </row>
    <row r="92" ht="28.5" spans="1:58">
      <c r="A92">
        <v>110</v>
      </c>
      <c r="B92" t="s">
        <v>601</v>
      </c>
      <c r="C92" t="s">
        <v>604</v>
      </c>
      <c r="D92">
        <v>2019</v>
      </c>
      <c r="E92" s="12" t="s">
        <v>605</v>
      </c>
      <c r="F92" t="s">
        <v>255</v>
      </c>
      <c r="G92">
        <v>18.2</v>
      </c>
      <c r="H92">
        <v>-92.75</v>
      </c>
      <c r="I92">
        <v>2</v>
      </c>
      <c r="J92" t="s">
        <v>256</v>
      </c>
      <c r="K92" t="s">
        <v>70</v>
      </c>
      <c r="L92" t="s">
        <v>146</v>
      </c>
      <c r="M92" t="s">
        <v>257</v>
      </c>
      <c r="N92" t="s">
        <v>113</v>
      </c>
      <c r="O92" t="s">
        <v>257</v>
      </c>
      <c r="P92" t="s">
        <v>258</v>
      </c>
      <c r="Q92" t="s">
        <v>74</v>
      </c>
      <c r="R92" t="s">
        <v>75</v>
      </c>
      <c r="S92" s="1" t="s">
        <v>117</v>
      </c>
      <c r="T92" s="1" t="s">
        <v>117</v>
      </c>
      <c r="U92" s="1" t="s">
        <v>117</v>
      </c>
      <c r="V92" s="1" t="s">
        <v>118</v>
      </c>
      <c r="W92" s="13">
        <v>30.6</v>
      </c>
      <c r="X92" s="13" t="s">
        <v>79</v>
      </c>
      <c r="Y92" s="13" t="s">
        <v>80</v>
      </c>
      <c r="Z92" s="3">
        <v>24</v>
      </c>
      <c r="AA92" s="3">
        <v>5</v>
      </c>
      <c r="AB92" s="3">
        <v>3.35</v>
      </c>
      <c r="AC92" s="4">
        <v>18.8</v>
      </c>
      <c r="AD92" s="3">
        <v>5</v>
      </c>
      <c r="AE92" s="3">
        <v>3.19</v>
      </c>
      <c r="AF92" s="5"/>
      <c r="AG92" s="14"/>
      <c r="AH92" s="14"/>
      <c r="AI92" s="14"/>
      <c r="AJ92" s="14"/>
      <c r="AK92" s="14"/>
      <c r="AL92" s="14"/>
      <c r="AM92" s="7"/>
      <c r="AN92" s="15"/>
      <c r="AO92" s="15"/>
      <c r="AP92" s="7"/>
      <c r="AQ92" s="7"/>
      <c r="AR92" s="7"/>
      <c r="AS92" s="7"/>
      <c r="AT92" s="7"/>
      <c r="AU92" s="7"/>
      <c r="AV92" s="7"/>
      <c r="AW92" s="7"/>
      <c r="AX92" s="7"/>
      <c r="AY92" s="7"/>
      <c r="AZ92" s="8"/>
      <c r="BA92" s="1"/>
      <c r="BB92" s="7"/>
      <c r="BC92" s="9" t="s">
        <v>259</v>
      </c>
      <c r="BD92" s="9" t="s">
        <v>126</v>
      </c>
      <c r="BE92" s="10" t="str">
        <f t="shared" si="4"/>
        <v>tropic</v>
      </c>
      <c r="BF92" s="11"/>
    </row>
    <row r="93" ht="28.5" spans="1:58">
      <c r="A93">
        <v>111</v>
      </c>
      <c r="B93" t="s">
        <v>606</v>
      </c>
      <c r="C93" t="s">
        <v>609</v>
      </c>
      <c r="D93">
        <v>2019</v>
      </c>
      <c r="E93" s="12" t="s">
        <v>610</v>
      </c>
      <c r="F93" t="s">
        <v>611</v>
      </c>
      <c r="G93">
        <v>3.16</v>
      </c>
      <c r="H93">
        <v>101.66</v>
      </c>
      <c r="I93">
        <v>1</v>
      </c>
      <c r="J93" t="s">
        <v>512</v>
      </c>
      <c r="K93" t="s">
        <v>70</v>
      </c>
      <c r="L93" t="s">
        <v>71</v>
      </c>
      <c r="M93" t="s">
        <v>612</v>
      </c>
      <c r="N93" t="s">
        <v>278</v>
      </c>
      <c r="O93" t="s">
        <v>340</v>
      </c>
      <c r="P93" t="s">
        <v>495</v>
      </c>
      <c r="Q93" t="s">
        <v>74</v>
      </c>
      <c r="R93" t="s">
        <v>75</v>
      </c>
      <c r="S93" s="1" t="s">
        <v>344</v>
      </c>
      <c r="T93" s="1" t="s">
        <v>344</v>
      </c>
      <c r="U93" s="1" t="s">
        <v>344</v>
      </c>
      <c r="V93" s="1" t="s">
        <v>344</v>
      </c>
      <c r="W93" s="13">
        <v>16.3</v>
      </c>
      <c r="X93" s="13" t="s">
        <v>79</v>
      </c>
      <c r="Y93" s="13" t="s">
        <v>80</v>
      </c>
      <c r="Z93" s="3">
        <v>24.333</v>
      </c>
      <c r="AA93" s="3">
        <v>3</v>
      </c>
      <c r="AB93" s="3">
        <v>6.128</v>
      </c>
      <c r="AC93" s="4">
        <v>20.2</v>
      </c>
      <c r="AD93" s="3">
        <v>5</v>
      </c>
      <c r="AE93" s="3">
        <v>2.926</v>
      </c>
      <c r="AF93" s="5" t="s">
        <v>81</v>
      </c>
      <c r="AG93" s="14">
        <v>1.97</v>
      </c>
      <c r="AH93" s="14">
        <v>3</v>
      </c>
      <c r="AI93" s="14">
        <v>0.085</v>
      </c>
      <c r="AJ93" s="14">
        <v>1.764</v>
      </c>
      <c r="AK93" s="14">
        <v>5</v>
      </c>
      <c r="AL93" s="14">
        <v>0.249</v>
      </c>
      <c r="AM93" s="7"/>
      <c r="AN93" s="15"/>
      <c r="AO93" s="15"/>
      <c r="AP93" s="7"/>
      <c r="AQ93" s="7"/>
      <c r="AR93" s="7"/>
      <c r="AS93" s="7"/>
      <c r="AT93" s="7"/>
      <c r="AU93" s="7"/>
      <c r="AV93" s="7"/>
      <c r="AW93" s="7"/>
      <c r="AX93" s="7"/>
      <c r="AY93" s="7"/>
      <c r="AZ93" s="8"/>
      <c r="BA93" s="1"/>
      <c r="BB93" s="7"/>
      <c r="BC93" s="9" t="s">
        <v>297</v>
      </c>
      <c r="BD93" s="9" t="s">
        <v>126</v>
      </c>
      <c r="BE93" s="10" t="str">
        <f t="shared" si="4"/>
        <v>tropic</v>
      </c>
      <c r="BF93" s="11"/>
    </row>
    <row r="94" ht="28.5" spans="1:58">
      <c r="A94">
        <v>112</v>
      </c>
      <c r="B94" t="s">
        <v>606</v>
      </c>
      <c r="C94" t="s">
        <v>609</v>
      </c>
      <c r="D94">
        <v>2019</v>
      </c>
      <c r="E94" s="12" t="s">
        <v>610</v>
      </c>
      <c r="F94" t="s">
        <v>611</v>
      </c>
      <c r="G94">
        <v>3.16</v>
      </c>
      <c r="H94">
        <v>101.66</v>
      </c>
      <c r="I94">
        <v>1</v>
      </c>
      <c r="J94" t="s">
        <v>512</v>
      </c>
      <c r="K94" t="s">
        <v>70</v>
      </c>
      <c r="L94" t="s">
        <v>71</v>
      </c>
      <c r="M94" t="s">
        <v>612</v>
      </c>
      <c r="N94" t="s">
        <v>278</v>
      </c>
      <c r="O94" t="s">
        <v>340</v>
      </c>
      <c r="P94" t="s">
        <v>495</v>
      </c>
      <c r="Q94" t="s">
        <v>74</v>
      </c>
      <c r="R94" t="s">
        <v>75</v>
      </c>
      <c r="S94" s="1" t="s">
        <v>344</v>
      </c>
      <c r="T94" s="1" t="s">
        <v>344</v>
      </c>
      <c r="U94" s="1" t="s">
        <v>344</v>
      </c>
      <c r="V94" s="1" t="s">
        <v>344</v>
      </c>
      <c r="W94" s="13">
        <v>16.3</v>
      </c>
      <c r="X94" s="13" t="s">
        <v>79</v>
      </c>
      <c r="Y94" s="13" t="s">
        <v>80</v>
      </c>
      <c r="Z94" s="3">
        <v>18</v>
      </c>
      <c r="AA94" s="3">
        <v>3</v>
      </c>
      <c r="AB94" s="3">
        <v>6.083</v>
      </c>
      <c r="AC94" s="4">
        <v>15.8</v>
      </c>
      <c r="AD94" s="3">
        <v>5</v>
      </c>
      <c r="AE94" s="3">
        <v>3.493</v>
      </c>
      <c r="AF94" s="5" t="s">
        <v>81</v>
      </c>
      <c r="AG94" s="14">
        <v>1.673</v>
      </c>
      <c r="AH94" s="14">
        <v>3</v>
      </c>
      <c r="AI94" s="14">
        <v>0.4</v>
      </c>
      <c r="AJ94" s="14">
        <v>1.462</v>
      </c>
      <c r="AK94" s="14">
        <v>5</v>
      </c>
      <c r="AL94" s="14">
        <v>0.318</v>
      </c>
      <c r="AM94" s="7"/>
      <c r="AN94" s="15"/>
      <c r="AO94" s="15"/>
      <c r="AP94" s="7"/>
      <c r="AQ94" s="7"/>
      <c r="AR94" s="7"/>
      <c r="AS94" s="7"/>
      <c r="AT94" s="7"/>
      <c r="AU94" s="7"/>
      <c r="AV94" s="7"/>
      <c r="AW94" s="7"/>
      <c r="AX94" s="7"/>
      <c r="AY94" s="7"/>
      <c r="AZ94" s="8"/>
      <c r="BA94" s="1"/>
      <c r="BB94" s="7"/>
      <c r="BC94" s="9" t="s">
        <v>297</v>
      </c>
      <c r="BD94" s="9" t="s">
        <v>126</v>
      </c>
      <c r="BE94" s="10" t="str">
        <f t="shared" si="4"/>
        <v>tropic</v>
      </c>
      <c r="BF94" s="11"/>
    </row>
    <row r="95" ht="42.75" spans="1:58">
      <c r="A95">
        <v>113</v>
      </c>
      <c r="B95" t="s">
        <v>613</v>
      </c>
      <c r="C95" t="s">
        <v>616</v>
      </c>
      <c r="D95">
        <v>2019</v>
      </c>
      <c r="E95" s="12" t="s">
        <v>617</v>
      </c>
      <c r="F95" t="s">
        <v>145</v>
      </c>
      <c r="G95">
        <v>-23.8333</v>
      </c>
      <c r="H95">
        <v>-46.1667</v>
      </c>
      <c r="I95">
        <v>1</v>
      </c>
      <c r="J95" t="s">
        <v>512</v>
      </c>
      <c r="K95" t="s">
        <v>70</v>
      </c>
      <c r="L95" t="s">
        <v>146</v>
      </c>
      <c r="M95" t="s">
        <v>513</v>
      </c>
      <c r="N95" t="s">
        <v>113</v>
      </c>
      <c r="O95" t="s">
        <v>114</v>
      </c>
      <c r="P95" t="s">
        <v>514</v>
      </c>
      <c r="Q95" t="s">
        <v>116</v>
      </c>
      <c r="R95" t="s">
        <v>75</v>
      </c>
      <c r="S95" s="1" t="s">
        <v>618</v>
      </c>
      <c r="T95" s="1" t="s">
        <v>172</v>
      </c>
      <c r="U95" s="1" t="s">
        <v>172</v>
      </c>
      <c r="V95" s="1" t="s">
        <v>173</v>
      </c>
      <c r="W95" s="13">
        <v>59.2</v>
      </c>
      <c r="X95" s="13" t="s">
        <v>119</v>
      </c>
      <c r="Y95" s="13" t="s">
        <v>80</v>
      </c>
      <c r="Z95" s="3">
        <v>9.5</v>
      </c>
      <c r="AA95" s="3">
        <v>2</v>
      </c>
      <c r="AB95" s="3">
        <v>1.5</v>
      </c>
      <c r="AC95" s="4">
        <v>9</v>
      </c>
      <c r="AD95" s="3">
        <v>2</v>
      </c>
      <c r="AE95" s="3">
        <v>2</v>
      </c>
      <c r="AF95" s="5" t="s">
        <v>81</v>
      </c>
      <c r="AG95" s="14">
        <v>0.894</v>
      </c>
      <c r="AH95" s="14">
        <v>2</v>
      </c>
      <c r="AI95" s="14">
        <v>0.15</v>
      </c>
      <c r="AJ95" s="14">
        <v>0.975</v>
      </c>
      <c r="AK95" s="14">
        <v>2</v>
      </c>
      <c r="AL95" s="14">
        <v>0.171</v>
      </c>
      <c r="AM95" s="7"/>
      <c r="AN95" s="15"/>
      <c r="AO95" s="15"/>
      <c r="AP95" s="7"/>
      <c r="AQ95" s="7"/>
      <c r="AR95" s="7"/>
      <c r="AS95" s="7"/>
      <c r="AT95" s="7"/>
      <c r="AU95" s="7"/>
      <c r="AV95" s="7"/>
      <c r="AW95" s="7"/>
      <c r="AX95" s="7"/>
      <c r="AY95" s="7"/>
      <c r="AZ95" s="8"/>
      <c r="BA95" s="1"/>
      <c r="BB95" s="7"/>
      <c r="BC95" s="9" t="s">
        <v>153</v>
      </c>
      <c r="BD95" s="9" t="s">
        <v>126</v>
      </c>
      <c r="BE95" s="10" t="str">
        <f t="shared" si="4"/>
        <v>subtropic</v>
      </c>
      <c r="BF95" s="11"/>
    </row>
    <row r="96" ht="57" spans="1:58">
      <c r="A96">
        <v>114</v>
      </c>
      <c r="B96" t="s">
        <v>619</v>
      </c>
      <c r="C96" t="s">
        <v>622</v>
      </c>
      <c r="D96">
        <v>2019</v>
      </c>
      <c r="E96" s="12" t="s">
        <v>623</v>
      </c>
      <c r="F96" t="s">
        <v>276</v>
      </c>
      <c r="G96">
        <v>39.273</v>
      </c>
      <c r="H96">
        <v>-76.5954</v>
      </c>
      <c r="I96">
        <v>14</v>
      </c>
      <c r="J96" t="s">
        <v>89</v>
      </c>
      <c r="K96" t="s">
        <v>182</v>
      </c>
      <c r="L96" t="s">
        <v>183</v>
      </c>
      <c r="M96" t="s">
        <v>147</v>
      </c>
      <c r="N96" t="s">
        <v>72</v>
      </c>
      <c r="O96" t="s">
        <v>147</v>
      </c>
      <c r="P96" t="s">
        <v>148</v>
      </c>
      <c r="Q96" t="s">
        <v>74</v>
      </c>
      <c r="R96" t="s">
        <v>75</v>
      </c>
      <c r="S96" s="1" t="s">
        <v>423</v>
      </c>
      <c r="T96" s="1" t="s">
        <v>172</v>
      </c>
      <c r="U96" s="1" t="s">
        <v>324</v>
      </c>
      <c r="V96" s="1" t="s">
        <v>325</v>
      </c>
      <c r="W96" s="13">
        <v>5.5</v>
      </c>
      <c r="X96" s="13" t="s">
        <v>192</v>
      </c>
      <c r="Y96" s="13" t="s">
        <v>80</v>
      </c>
      <c r="Z96" s="3">
        <v>13.274</v>
      </c>
      <c r="AA96" s="3">
        <v>4</v>
      </c>
      <c r="AB96" s="3">
        <v>2.248</v>
      </c>
      <c r="AC96" s="4">
        <v>4.248</v>
      </c>
      <c r="AD96" s="3">
        <v>4</v>
      </c>
      <c r="AE96" s="3">
        <v>1.287</v>
      </c>
      <c r="AF96" s="5" t="s">
        <v>81</v>
      </c>
      <c r="AG96" s="14">
        <v>2.082</v>
      </c>
      <c r="AH96" s="14">
        <v>4</v>
      </c>
      <c r="AI96" s="14">
        <v>0.256</v>
      </c>
      <c r="AJ96" s="14">
        <v>0.913</v>
      </c>
      <c r="AK96" s="14">
        <v>4</v>
      </c>
      <c r="AL96" s="14">
        <v>0.382</v>
      </c>
      <c r="AM96" s="7">
        <v>20</v>
      </c>
      <c r="AN96" s="15" t="s">
        <v>624</v>
      </c>
      <c r="AO96" s="15" t="s">
        <v>625</v>
      </c>
      <c r="AP96" s="7" t="s">
        <v>122</v>
      </c>
      <c r="AQ96" s="7">
        <v>2.106286</v>
      </c>
      <c r="AR96" s="7">
        <v>3</v>
      </c>
      <c r="AS96" s="7">
        <v>1.097207</v>
      </c>
      <c r="AT96" s="7">
        <v>0.536844</v>
      </c>
      <c r="AU96" s="7">
        <v>6</v>
      </c>
      <c r="AV96" s="7">
        <v>0.305684</v>
      </c>
      <c r="AW96" s="7">
        <v>1.941786</v>
      </c>
      <c r="AX96" s="7">
        <v>12</v>
      </c>
      <c r="AY96" s="7">
        <v>1.275834</v>
      </c>
      <c r="AZ96" s="8"/>
      <c r="BA96" s="1"/>
      <c r="BB96" s="7"/>
      <c r="BC96" s="9" t="s">
        <v>626</v>
      </c>
      <c r="BD96" s="9" t="s">
        <v>126</v>
      </c>
      <c r="BE96" s="10" t="str">
        <f t="shared" si="4"/>
        <v>subtropic</v>
      </c>
      <c r="BF96" s="11"/>
    </row>
    <row r="97" ht="28.5" spans="1:58">
      <c r="A97">
        <v>115</v>
      </c>
      <c r="B97" t="s">
        <v>627</v>
      </c>
      <c r="C97" t="s">
        <v>630</v>
      </c>
      <c r="D97">
        <v>2019</v>
      </c>
      <c r="E97" s="12" t="s">
        <v>631</v>
      </c>
      <c r="F97" t="s">
        <v>303</v>
      </c>
      <c r="G97">
        <v>46.7271</v>
      </c>
      <c r="H97">
        <v>19.0506</v>
      </c>
      <c r="I97">
        <v>25</v>
      </c>
      <c r="J97" t="s">
        <v>216</v>
      </c>
      <c r="K97" t="s">
        <v>182</v>
      </c>
      <c r="L97" t="s">
        <v>183</v>
      </c>
      <c r="M97" t="s">
        <v>147</v>
      </c>
      <c r="N97" t="s">
        <v>72</v>
      </c>
      <c r="O97" t="s">
        <v>147</v>
      </c>
      <c r="P97" t="s">
        <v>148</v>
      </c>
      <c r="Q97" t="s">
        <v>74</v>
      </c>
      <c r="R97" t="s">
        <v>75</v>
      </c>
      <c r="S97" s="1" t="s">
        <v>117</v>
      </c>
      <c r="T97" s="1" t="s">
        <v>117</v>
      </c>
      <c r="U97" s="1" t="s">
        <v>117</v>
      </c>
      <c r="V97" s="1" t="s">
        <v>118</v>
      </c>
      <c r="W97" s="13" t="s">
        <v>632</v>
      </c>
      <c r="X97" s="13" t="s">
        <v>93</v>
      </c>
      <c r="Y97" s="13" t="s">
        <v>633</v>
      </c>
      <c r="Z97" s="3">
        <v>6.54</v>
      </c>
      <c r="AA97" s="3">
        <v>20</v>
      </c>
      <c r="AB97" s="3">
        <v>3.081</v>
      </c>
      <c r="AC97" s="4">
        <v>5.327</v>
      </c>
      <c r="AD97" s="3">
        <v>21</v>
      </c>
      <c r="AE97" s="3">
        <v>3.106</v>
      </c>
      <c r="AF97" s="5"/>
      <c r="AG97" s="14"/>
      <c r="AH97" s="14"/>
      <c r="AI97" s="14"/>
      <c r="AJ97" s="14"/>
      <c r="AK97" s="14"/>
      <c r="AL97" s="14"/>
      <c r="AM97" s="7"/>
      <c r="AN97" s="15"/>
      <c r="AO97" s="15"/>
      <c r="AP97" s="7"/>
      <c r="AQ97" s="7"/>
      <c r="AR97" s="7"/>
      <c r="AS97" s="7"/>
      <c r="AT97" s="7"/>
      <c r="AU97" s="7"/>
      <c r="AV97" s="7"/>
      <c r="AW97" s="7"/>
      <c r="AX97" s="7"/>
      <c r="AY97" s="7"/>
      <c r="AZ97" s="8"/>
      <c r="BA97" s="1"/>
      <c r="BB97" s="7"/>
      <c r="BC97" s="9" t="s">
        <v>82</v>
      </c>
      <c r="BD97" s="9" t="s">
        <v>82</v>
      </c>
      <c r="BE97" s="10" t="str">
        <f t="shared" si="4"/>
        <v>temperate</v>
      </c>
      <c r="BF97" s="11"/>
    </row>
    <row r="98" ht="42.75" spans="1:58">
      <c r="A98">
        <v>116</v>
      </c>
      <c r="B98" t="s">
        <v>634</v>
      </c>
      <c r="C98" t="s">
        <v>637</v>
      </c>
      <c r="D98">
        <v>2019</v>
      </c>
      <c r="E98" s="12" t="s">
        <v>638</v>
      </c>
      <c r="F98" t="s">
        <v>639</v>
      </c>
      <c r="G98">
        <v>14.7</v>
      </c>
      <c r="H98">
        <v>121.333</v>
      </c>
      <c r="I98">
        <v>2</v>
      </c>
      <c r="J98" t="s">
        <v>256</v>
      </c>
      <c r="K98" t="s">
        <v>444</v>
      </c>
      <c r="L98" t="s">
        <v>71</v>
      </c>
      <c r="M98" t="s">
        <v>147</v>
      </c>
      <c r="N98" t="s">
        <v>72</v>
      </c>
      <c r="O98" t="s">
        <v>147</v>
      </c>
      <c r="P98" t="s">
        <v>148</v>
      </c>
      <c r="Q98" t="s">
        <v>74</v>
      </c>
      <c r="R98" t="s">
        <v>75</v>
      </c>
      <c r="S98" s="1" t="s">
        <v>333</v>
      </c>
      <c r="T98" s="1" t="s">
        <v>172</v>
      </c>
      <c r="U98" s="1" t="s">
        <v>172</v>
      </c>
      <c r="V98" s="1" t="s">
        <v>173</v>
      </c>
      <c r="W98" s="13">
        <v>21</v>
      </c>
      <c r="X98" s="13" t="s">
        <v>79</v>
      </c>
      <c r="Y98" s="13" t="s">
        <v>80</v>
      </c>
      <c r="Z98" s="3">
        <v>16.31</v>
      </c>
      <c r="AA98" s="3">
        <v>8</v>
      </c>
      <c r="AB98" s="3">
        <v>6.505</v>
      </c>
      <c r="AC98" s="4">
        <v>4.31</v>
      </c>
      <c r="AD98" s="3">
        <v>8</v>
      </c>
      <c r="AE98" s="3">
        <v>3.677</v>
      </c>
      <c r="AF98" s="5" t="s">
        <v>81</v>
      </c>
      <c r="AG98" s="14">
        <v>2.01</v>
      </c>
      <c r="AH98" s="14">
        <v>8</v>
      </c>
      <c r="AI98" s="14">
        <v>0.283</v>
      </c>
      <c r="AJ98" s="14">
        <v>0.62</v>
      </c>
      <c r="AK98" s="14">
        <v>8</v>
      </c>
      <c r="AL98" s="14">
        <v>0.622</v>
      </c>
      <c r="AM98" s="7">
        <v>47</v>
      </c>
      <c r="AN98" s="15" t="s">
        <v>640</v>
      </c>
      <c r="AO98" s="15" t="s">
        <v>641</v>
      </c>
      <c r="AP98" s="7" t="s">
        <v>122</v>
      </c>
      <c r="AQ98" s="7">
        <v>1.521046</v>
      </c>
      <c r="AR98" s="7">
        <v>28</v>
      </c>
      <c r="AS98" s="7">
        <v>0.747106</v>
      </c>
      <c r="AT98" s="7">
        <v>0.503183</v>
      </c>
      <c r="AU98" s="7">
        <v>28</v>
      </c>
      <c r="AV98" s="7">
        <v>0.262388</v>
      </c>
      <c r="AW98" s="7">
        <v>1.555262</v>
      </c>
      <c r="AX98" s="7">
        <v>64</v>
      </c>
      <c r="AY98" s="7">
        <v>0.442674</v>
      </c>
      <c r="AZ98" s="8"/>
      <c r="BA98" s="1"/>
      <c r="BB98" s="7"/>
      <c r="BC98" s="9" t="s">
        <v>639</v>
      </c>
      <c r="BD98" s="9" t="s">
        <v>126</v>
      </c>
      <c r="BE98" s="10" t="str">
        <f t="shared" si="4"/>
        <v>tropic</v>
      </c>
      <c r="BF98" s="11"/>
    </row>
    <row r="99" ht="57" spans="1:58">
      <c r="A99">
        <v>117</v>
      </c>
      <c r="B99" t="s">
        <v>642</v>
      </c>
      <c r="C99" t="s">
        <v>645</v>
      </c>
      <c r="D99">
        <v>2019</v>
      </c>
      <c r="E99" s="12" t="s">
        <v>646</v>
      </c>
      <c r="F99" t="s">
        <v>145</v>
      </c>
      <c r="G99">
        <v>-32.0661</v>
      </c>
      <c r="H99">
        <v>-52.1641</v>
      </c>
      <c r="I99">
        <v>14</v>
      </c>
      <c r="J99" t="s">
        <v>89</v>
      </c>
      <c r="K99" t="s">
        <v>70</v>
      </c>
      <c r="L99" t="s">
        <v>146</v>
      </c>
      <c r="M99" t="s">
        <v>277</v>
      </c>
      <c r="N99" t="s">
        <v>278</v>
      </c>
      <c r="O99" t="s">
        <v>277</v>
      </c>
      <c r="P99" t="s">
        <v>279</v>
      </c>
      <c r="Q99" t="s">
        <v>280</v>
      </c>
      <c r="R99" t="s">
        <v>75</v>
      </c>
      <c r="S99" s="1" t="s">
        <v>647</v>
      </c>
      <c r="T99" s="1" t="s">
        <v>344</v>
      </c>
      <c r="U99" s="1" t="s">
        <v>286</v>
      </c>
      <c r="V99" s="1" t="s">
        <v>287</v>
      </c>
      <c r="W99" s="13">
        <v>2.4</v>
      </c>
      <c r="X99" s="13" t="s">
        <v>192</v>
      </c>
      <c r="Y99" s="13" t="s">
        <v>80</v>
      </c>
      <c r="Z99" s="3">
        <v>19.875</v>
      </c>
      <c r="AA99" s="3">
        <v>8</v>
      </c>
      <c r="AB99" s="3">
        <v>7.025</v>
      </c>
      <c r="AC99" s="4">
        <v>17.333</v>
      </c>
      <c r="AD99" s="3">
        <v>6</v>
      </c>
      <c r="AE99" s="3">
        <v>4.955</v>
      </c>
      <c r="AF99" s="5" t="s">
        <v>81</v>
      </c>
      <c r="AG99" s="14">
        <v>1.946</v>
      </c>
      <c r="AH99" s="14">
        <v>8</v>
      </c>
      <c r="AI99" s="14">
        <v>0.519</v>
      </c>
      <c r="AJ99" s="14">
        <v>2.047</v>
      </c>
      <c r="AK99" s="14">
        <v>6</v>
      </c>
      <c r="AL99" s="14">
        <v>0.3181</v>
      </c>
      <c r="AM99" s="7">
        <v>21</v>
      </c>
      <c r="AN99" s="15" t="s">
        <v>648</v>
      </c>
      <c r="AO99" s="15" t="s">
        <v>649</v>
      </c>
      <c r="AP99" s="7" t="s">
        <v>122</v>
      </c>
      <c r="AQ99" s="7">
        <v>0.372787</v>
      </c>
      <c r="AR99" s="7">
        <v>15</v>
      </c>
      <c r="AS99" s="7">
        <v>0.169159</v>
      </c>
      <c r="AT99" s="7">
        <v>0.607241</v>
      </c>
      <c r="AU99" s="7">
        <v>28</v>
      </c>
      <c r="AV99" s="7">
        <v>0.400239</v>
      </c>
      <c r="AW99" s="7">
        <v>0.950209</v>
      </c>
      <c r="AX99" s="7">
        <v>48</v>
      </c>
      <c r="AY99" s="7">
        <v>0.266733</v>
      </c>
      <c r="AZ99" s="8"/>
      <c r="BA99" s="1"/>
      <c r="BB99" s="7"/>
      <c r="BC99" s="9" t="s">
        <v>82</v>
      </c>
      <c r="BD99" s="9" t="s">
        <v>82</v>
      </c>
      <c r="BE99" s="10" t="str">
        <f t="shared" si="4"/>
        <v>subtropic</v>
      </c>
      <c r="BF99" s="11"/>
    </row>
    <row r="100" ht="28.5" spans="1:58">
      <c r="A100">
        <v>118</v>
      </c>
      <c r="B100" t="s">
        <v>650</v>
      </c>
      <c r="C100" t="s">
        <v>653</v>
      </c>
      <c r="D100">
        <v>2019</v>
      </c>
      <c r="E100" s="12" t="s">
        <v>654</v>
      </c>
      <c r="F100" t="s">
        <v>611</v>
      </c>
      <c r="G100">
        <v>3.1319</v>
      </c>
      <c r="H100">
        <v>101.6841</v>
      </c>
      <c r="I100">
        <v>1</v>
      </c>
      <c r="J100" t="s">
        <v>512</v>
      </c>
      <c r="K100" t="s">
        <v>70</v>
      </c>
      <c r="L100" t="s">
        <v>71</v>
      </c>
      <c r="M100" t="s">
        <v>217</v>
      </c>
      <c r="N100" t="s">
        <v>217</v>
      </c>
      <c r="O100" t="s">
        <v>218</v>
      </c>
      <c r="P100" t="s">
        <v>219</v>
      </c>
      <c r="Q100" t="s">
        <v>74</v>
      </c>
      <c r="R100" t="s">
        <v>75</v>
      </c>
      <c r="S100" s="1" t="s">
        <v>343</v>
      </c>
      <c r="T100" s="1" t="s">
        <v>172</v>
      </c>
      <c r="U100" s="1" t="s">
        <v>324</v>
      </c>
      <c r="V100" s="1" t="s">
        <v>325</v>
      </c>
      <c r="W100" s="13">
        <v>31</v>
      </c>
      <c r="X100" s="13" t="s">
        <v>79</v>
      </c>
      <c r="Y100" s="13" t="s">
        <v>80</v>
      </c>
      <c r="Z100" s="3">
        <v>9.5</v>
      </c>
      <c r="AA100" s="3">
        <v>2</v>
      </c>
      <c r="AB100" s="3">
        <v>0.5</v>
      </c>
      <c r="AC100" s="4">
        <v>11</v>
      </c>
      <c r="AD100" s="3">
        <v>2</v>
      </c>
      <c r="AE100" s="3">
        <v>3</v>
      </c>
      <c r="AF100" s="5" t="s">
        <v>81</v>
      </c>
      <c r="AG100" s="14">
        <v>1.365</v>
      </c>
      <c r="AH100" s="14">
        <v>2</v>
      </c>
      <c r="AI100" s="14">
        <v>0.111</v>
      </c>
      <c r="AJ100" s="14">
        <v>1.536</v>
      </c>
      <c r="AK100" s="14">
        <v>2</v>
      </c>
      <c r="AL100" s="14">
        <v>0.23</v>
      </c>
      <c r="AM100" s="7">
        <v>22</v>
      </c>
      <c r="AN100" s="15" t="s">
        <v>655</v>
      </c>
      <c r="AO100" s="15" t="s">
        <v>656</v>
      </c>
      <c r="AP100" s="7" t="s">
        <v>122</v>
      </c>
      <c r="AQ100" s="7">
        <v>0.689917</v>
      </c>
      <c r="AR100" s="7">
        <v>28</v>
      </c>
      <c r="AS100" s="7">
        <v>0.347254</v>
      </c>
      <c r="AT100" s="7">
        <v>0.43497</v>
      </c>
      <c r="AU100" s="7">
        <v>28</v>
      </c>
      <c r="AV100" s="7">
        <v>0.198914</v>
      </c>
      <c r="AW100" s="7">
        <v>1.192743</v>
      </c>
      <c r="AX100" s="7">
        <v>64</v>
      </c>
      <c r="AY100" s="7">
        <v>0.266279</v>
      </c>
      <c r="AZ100" s="8"/>
      <c r="BA100" s="1"/>
      <c r="BB100" s="7"/>
      <c r="BC100" s="9" t="s">
        <v>297</v>
      </c>
      <c r="BD100" s="9" t="s">
        <v>126</v>
      </c>
      <c r="BE100" s="10" t="str">
        <f t="shared" si="4"/>
        <v>tropic</v>
      </c>
      <c r="BF100" s="11"/>
    </row>
    <row r="101" ht="57" spans="1:58">
      <c r="A101">
        <v>119</v>
      </c>
      <c r="B101" t="s">
        <v>657</v>
      </c>
      <c r="C101" t="s">
        <v>660</v>
      </c>
      <c r="D101">
        <v>2019</v>
      </c>
      <c r="E101" s="12" t="s">
        <v>661</v>
      </c>
      <c r="F101" t="s">
        <v>255</v>
      </c>
      <c r="G101">
        <v>25.9</v>
      </c>
      <c r="H101">
        <v>-99.1833</v>
      </c>
      <c r="I101">
        <v>6</v>
      </c>
      <c r="J101" t="s">
        <v>662</v>
      </c>
      <c r="K101" t="s">
        <v>70</v>
      </c>
      <c r="L101" t="s">
        <v>146</v>
      </c>
      <c r="M101" t="s">
        <v>72</v>
      </c>
      <c r="N101" t="s">
        <v>72</v>
      </c>
      <c r="O101" t="s">
        <v>72</v>
      </c>
      <c r="P101" t="s">
        <v>73</v>
      </c>
      <c r="Q101" t="s">
        <v>74</v>
      </c>
      <c r="R101" t="s">
        <v>75</v>
      </c>
      <c r="S101" s="1" t="s">
        <v>172</v>
      </c>
      <c r="T101" s="1" t="s">
        <v>172</v>
      </c>
      <c r="U101" s="1" t="s">
        <v>172</v>
      </c>
      <c r="V101" s="1" t="s">
        <v>173</v>
      </c>
      <c r="W101" s="13">
        <v>51</v>
      </c>
      <c r="X101" s="13" t="s">
        <v>119</v>
      </c>
      <c r="Y101" s="13" t="s">
        <v>94</v>
      </c>
      <c r="Z101" s="3">
        <v>35.17</v>
      </c>
      <c r="AA101" s="3">
        <v>3</v>
      </c>
      <c r="AB101" s="3">
        <v>1.818</v>
      </c>
      <c r="AC101" s="4">
        <v>15.83</v>
      </c>
      <c r="AD101" s="3">
        <v>6</v>
      </c>
      <c r="AE101" s="3">
        <v>5.07</v>
      </c>
      <c r="AF101" s="5" t="s">
        <v>81</v>
      </c>
      <c r="AG101" s="14">
        <v>2.52</v>
      </c>
      <c r="AH101" s="14">
        <v>3</v>
      </c>
      <c r="AI101" s="14">
        <v>0.156</v>
      </c>
      <c r="AJ101" s="14">
        <v>1.29</v>
      </c>
      <c r="AK101" s="14">
        <v>6</v>
      </c>
      <c r="AL101" s="14">
        <v>0.367</v>
      </c>
      <c r="AM101" s="7"/>
      <c r="AN101" s="15"/>
      <c r="AO101" s="15"/>
      <c r="AP101" s="7"/>
      <c r="AQ101" s="7"/>
      <c r="AR101" s="7"/>
      <c r="AS101" s="7"/>
      <c r="AT101" s="7"/>
      <c r="AU101" s="7"/>
      <c r="AV101" s="7"/>
      <c r="AW101" s="7"/>
      <c r="AX101" s="7"/>
      <c r="AY101" s="7"/>
      <c r="AZ101" s="8"/>
      <c r="BA101" s="1"/>
      <c r="BB101" s="7"/>
      <c r="BC101" s="9" t="s">
        <v>626</v>
      </c>
      <c r="BD101" s="9" t="s">
        <v>126</v>
      </c>
      <c r="BE101" s="10" t="str">
        <f t="shared" si="4"/>
        <v>subtropic</v>
      </c>
      <c r="BF101" s="11"/>
    </row>
    <row r="102" ht="57" spans="1:58">
      <c r="A102">
        <v>120</v>
      </c>
      <c r="B102" t="s">
        <v>657</v>
      </c>
      <c r="C102" t="s">
        <v>660</v>
      </c>
      <c r="D102">
        <v>2019</v>
      </c>
      <c r="E102" s="12" t="s">
        <v>661</v>
      </c>
      <c r="F102" t="s">
        <v>255</v>
      </c>
      <c r="G102">
        <v>25.9</v>
      </c>
      <c r="H102">
        <v>-99.1833</v>
      </c>
      <c r="I102">
        <v>6</v>
      </c>
      <c r="J102" t="s">
        <v>662</v>
      </c>
      <c r="K102" t="s">
        <v>70</v>
      </c>
      <c r="L102" t="s">
        <v>146</v>
      </c>
      <c r="M102" t="s">
        <v>72</v>
      </c>
      <c r="N102" t="s">
        <v>72</v>
      </c>
      <c r="O102" t="s">
        <v>72</v>
      </c>
      <c r="P102" t="s">
        <v>73</v>
      </c>
      <c r="Q102" t="s">
        <v>74</v>
      </c>
      <c r="R102" t="s">
        <v>75</v>
      </c>
      <c r="S102" s="1" t="s">
        <v>172</v>
      </c>
      <c r="T102" s="1" t="s">
        <v>172</v>
      </c>
      <c r="U102" s="1" t="s">
        <v>172</v>
      </c>
      <c r="V102" s="1" t="s">
        <v>173</v>
      </c>
      <c r="W102" s="13">
        <v>51</v>
      </c>
      <c r="X102" s="13" t="s">
        <v>119</v>
      </c>
      <c r="Y102" s="13" t="s">
        <v>94</v>
      </c>
      <c r="Z102" s="3"/>
      <c r="AA102" s="3"/>
      <c r="AB102" s="3"/>
      <c r="AC102" s="4"/>
      <c r="AD102" s="3"/>
      <c r="AE102" s="3"/>
      <c r="AF102" s="5"/>
      <c r="AG102" s="14"/>
      <c r="AH102" s="14"/>
      <c r="AI102" s="14"/>
      <c r="AJ102" s="14"/>
      <c r="AK102" s="14"/>
      <c r="AL102" s="14"/>
      <c r="AM102" s="7">
        <v>23</v>
      </c>
      <c r="AN102" s="15" t="s">
        <v>304</v>
      </c>
      <c r="AO102" s="15" t="s">
        <v>305</v>
      </c>
      <c r="AP102" s="7" t="s">
        <v>122</v>
      </c>
      <c r="AQ102" s="7">
        <v>0.646255</v>
      </c>
      <c r="AR102" s="7">
        <v>15</v>
      </c>
      <c r="AS102" s="7">
        <v>0.359867</v>
      </c>
      <c r="AT102" s="7">
        <v>0.165338</v>
      </c>
      <c r="AU102" s="7">
        <v>3</v>
      </c>
      <c r="AV102" s="7">
        <v>0.065646</v>
      </c>
      <c r="AW102" s="7">
        <v>0.807933</v>
      </c>
      <c r="AX102" s="7">
        <v>18</v>
      </c>
      <c r="AY102" s="7">
        <v>0.425956</v>
      </c>
      <c r="AZ102" s="8" t="s">
        <v>123</v>
      </c>
      <c r="BA102" s="1"/>
      <c r="BB102" s="7"/>
      <c r="BC102" s="9" t="s">
        <v>626</v>
      </c>
      <c r="BD102" s="9" t="s">
        <v>126</v>
      </c>
      <c r="BE102" s="10" t="str">
        <f t="shared" si="4"/>
        <v>subtropic</v>
      </c>
      <c r="BF102" s="11"/>
    </row>
    <row r="103" ht="42.75" spans="1:58">
      <c r="A103">
        <v>122</v>
      </c>
      <c r="B103" t="s">
        <v>663</v>
      </c>
      <c r="C103" t="s">
        <v>666</v>
      </c>
      <c r="D103">
        <v>2019</v>
      </c>
      <c r="E103" s="12" t="s">
        <v>667</v>
      </c>
      <c r="F103" t="s">
        <v>356</v>
      </c>
      <c r="G103">
        <v>-33.8818</v>
      </c>
      <c r="H103">
        <v>150.8609</v>
      </c>
      <c r="I103">
        <v>14</v>
      </c>
      <c r="J103" t="s">
        <v>89</v>
      </c>
      <c r="K103" t="s">
        <v>182</v>
      </c>
      <c r="L103" t="s">
        <v>358</v>
      </c>
      <c r="M103" t="s">
        <v>72</v>
      </c>
      <c r="N103" t="s">
        <v>72</v>
      </c>
      <c r="O103" t="s">
        <v>72</v>
      </c>
      <c r="P103" t="s">
        <v>73</v>
      </c>
      <c r="Q103" t="s">
        <v>74</v>
      </c>
      <c r="R103" t="s">
        <v>75</v>
      </c>
      <c r="S103" s="1" t="s">
        <v>172</v>
      </c>
      <c r="T103" s="1" t="s">
        <v>172</v>
      </c>
      <c r="U103" s="1" t="s">
        <v>172</v>
      </c>
      <c r="V103" s="1" t="s">
        <v>173</v>
      </c>
      <c r="W103" s="13">
        <v>33</v>
      </c>
      <c r="X103" s="13" t="s">
        <v>79</v>
      </c>
      <c r="Y103" s="13" t="s">
        <v>80</v>
      </c>
      <c r="Z103" s="3">
        <v>21.417</v>
      </c>
      <c r="AA103" s="3">
        <v>5</v>
      </c>
      <c r="AB103" s="3">
        <v>4.599</v>
      </c>
      <c r="AC103" s="4">
        <v>10.961</v>
      </c>
      <c r="AD103" s="3">
        <v>10</v>
      </c>
      <c r="AE103" s="3">
        <v>3.332</v>
      </c>
      <c r="AF103" s="5" t="s">
        <v>81</v>
      </c>
      <c r="AG103" s="14">
        <v>2.146</v>
      </c>
      <c r="AH103" s="14">
        <v>5</v>
      </c>
      <c r="AI103" s="14">
        <v>0.132</v>
      </c>
      <c r="AJ103" s="14">
        <v>0.834</v>
      </c>
      <c r="AK103" s="14">
        <v>10</v>
      </c>
      <c r="AL103" s="14">
        <v>0.356</v>
      </c>
      <c r="AM103" s="7"/>
      <c r="AN103" s="15"/>
      <c r="AO103" s="15"/>
      <c r="AP103" s="7"/>
      <c r="AQ103" s="7"/>
      <c r="AR103" s="7"/>
      <c r="AS103" s="7"/>
      <c r="AT103" s="7"/>
      <c r="AU103" s="7"/>
      <c r="AV103" s="7"/>
      <c r="AW103" s="7"/>
      <c r="AX103" s="7"/>
      <c r="AY103" s="7"/>
      <c r="AZ103" s="8" t="s">
        <v>135</v>
      </c>
      <c r="BA103" s="1"/>
      <c r="BB103" s="7"/>
      <c r="BC103" s="9" t="s">
        <v>361</v>
      </c>
      <c r="BD103" s="9" t="s">
        <v>126</v>
      </c>
      <c r="BE103" s="10" t="str">
        <f t="shared" si="4"/>
        <v>subtropic</v>
      </c>
      <c r="BF103" s="11"/>
    </row>
    <row r="104" ht="42.75" spans="1:58">
      <c r="A104">
        <v>124</v>
      </c>
      <c r="B104" t="s">
        <v>668</v>
      </c>
      <c r="C104" t="s">
        <v>671</v>
      </c>
      <c r="D104">
        <v>2018</v>
      </c>
      <c r="E104" s="12" t="s">
        <v>672</v>
      </c>
      <c r="F104" t="s">
        <v>68</v>
      </c>
      <c r="G104">
        <v>29.75</v>
      </c>
      <c r="H104">
        <v>106.5</v>
      </c>
      <c r="I104">
        <v>14</v>
      </c>
      <c r="J104" t="s">
        <v>89</v>
      </c>
      <c r="K104" t="s">
        <v>70</v>
      </c>
      <c r="L104" t="s">
        <v>71</v>
      </c>
      <c r="M104" t="s">
        <v>72</v>
      </c>
      <c r="N104" t="s">
        <v>72</v>
      </c>
      <c r="O104" t="s">
        <v>72</v>
      </c>
      <c r="P104" t="s">
        <v>73</v>
      </c>
      <c r="Q104" t="s">
        <v>74</v>
      </c>
      <c r="R104" t="s">
        <v>75</v>
      </c>
      <c r="S104" s="1" t="s">
        <v>172</v>
      </c>
      <c r="T104" s="1" t="s">
        <v>172</v>
      </c>
      <c r="U104" s="1" t="s">
        <v>172</v>
      </c>
      <c r="V104" s="1" t="s">
        <v>173</v>
      </c>
      <c r="W104" s="13">
        <v>37.8</v>
      </c>
      <c r="X104" s="13" t="s">
        <v>79</v>
      </c>
      <c r="Y104" s="13" t="s">
        <v>80</v>
      </c>
      <c r="Z104" s="3">
        <v>8.31</v>
      </c>
      <c r="AA104" s="3">
        <v>4</v>
      </c>
      <c r="AB104" s="3">
        <v>3.84</v>
      </c>
      <c r="AC104" s="4">
        <v>4.58</v>
      </c>
      <c r="AD104" s="3">
        <v>11</v>
      </c>
      <c r="AE104" s="3">
        <v>2.33</v>
      </c>
      <c r="AF104" s="5" t="s">
        <v>81</v>
      </c>
      <c r="AG104" s="14">
        <v>1.68</v>
      </c>
      <c r="AH104" s="14">
        <v>4</v>
      </c>
      <c r="AI104" s="14">
        <v>0.8</v>
      </c>
      <c r="AJ104" s="14">
        <v>1.13</v>
      </c>
      <c r="AK104" s="14">
        <v>11</v>
      </c>
      <c r="AL104" s="14">
        <v>0.69</v>
      </c>
      <c r="AM104" s="7"/>
      <c r="AN104" s="15"/>
      <c r="AO104" s="15"/>
      <c r="AP104" s="7"/>
      <c r="AQ104" s="7"/>
      <c r="AR104" s="7"/>
      <c r="AS104" s="7"/>
      <c r="AT104" s="7"/>
      <c r="AU104" s="7"/>
      <c r="AV104" s="7"/>
      <c r="AW104" s="7"/>
      <c r="AX104" s="7"/>
      <c r="AY104" s="7"/>
      <c r="AZ104" s="8"/>
      <c r="BA104" s="1"/>
      <c r="BB104" s="7"/>
      <c r="BC104" s="9" t="s">
        <v>82</v>
      </c>
      <c r="BD104" s="9" t="s">
        <v>82</v>
      </c>
      <c r="BE104" s="10" t="str">
        <f t="shared" si="4"/>
        <v>subtropic</v>
      </c>
      <c r="BF104" s="11"/>
    </row>
    <row r="105" ht="42.75" spans="1:58">
      <c r="A105">
        <v>125</v>
      </c>
      <c r="B105" t="s">
        <v>673</v>
      </c>
      <c r="C105" t="s">
        <v>676</v>
      </c>
      <c r="D105">
        <v>2018</v>
      </c>
      <c r="E105" s="12" t="s">
        <v>677</v>
      </c>
      <c r="F105" t="s">
        <v>68</v>
      </c>
      <c r="G105">
        <v>29.5657</v>
      </c>
      <c r="H105">
        <v>106.5512</v>
      </c>
      <c r="I105">
        <v>14</v>
      </c>
      <c r="J105" t="s">
        <v>89</v>
      </c>
      <c r="K105" t="s">
        <v>70</v>
      </c>
      <c r="L105" t="s">
        <v>71</v>
      </c>
      <c r="M105" t="s">
        <v>72</v>
      </c>
      <c r="N105" t="s">
        <v>72</v>
      </c>
      <c r="O105" t="s">
        <v>72</v>
      </c>
      <c r="P105" t="s">
        <v>73</v>
      </c>
      <c r="Q105" t="s">
        <v>74</v>
      </c>
      <c r="R105" t="s">
        <v>75</v>
      </c>
      <c r="S105" s="1" t="s">
        <v>172</v>
      </c>
      <c r="T105" s="1" t="s">
        <v>172</v>
      </c>
      <c r="U105" s="1" t="s">
        <v>172</v>
      </c>
      <c r="V105" s="1" t="s">
        <v>173</v>
      </c>
      <c r="W105" s="13">
        <v>42</v>
      </c>
      <c r="X105" s="13" t="s">
        <v>79</v>
      </c>
      <c r="Y105" s="13" t="s">
        <v>80</v>
      </c>
      <c r="Z105" s="3">
        <v>6.719</v>
      </c>
      <c r="AA105" s="3">
        <v>18</v>
      </c>
      <c r="AB105" s="3">
        <v>4.346</v>
      </c>
      <c r="AC105" s="4">
        <v>3.036</v>
      </c>
      <c r="AD105" s="3">
        <v>24</v>
      </c>
      <c r="AE105" s="3">
        <v>1.008</v>
      </c>
      <c r="AF105" s="5" t="s">
        <v>81</v>
      </c>
      <c r="AG105" s="14">
        <v>1.033</v>
      </c>
      <c r="AH105" s="14">
        <v>18</v>
      </c>
      <c r="AI105" s="14">
        <v>0.532</v>
      </c>
      <c r="AJ105" s="19">
        <v>0.311</v>
      </c>
      <c r="AK105" s="14">
        <v>24</v>
      </c>
      <c r="AL105" s="14">
        <v>0.35</v>
      </c>
      <c r="AM105" s="7"/>
      <c r="AN105" s="15"/>
      <c r="AO105" s="15"/>
      <c r="AP105" s="7"/>
      <c r="AQ105" s="7"/>
      <c r="AR105" s="7"/>
      <c r="AS105" s="7"/>
      <c r="AT105" s="7"/>
      <c r="AU105" s="7"/>
      <c r="AV105" s="7"/>
      <c r="AW105" s="7"/>
      <c r="AX105" s="7"/>
      <c r="AY105" s="7"/>
      <c r="AZ105" s="8"/>
      <c r="BA105" s="1"/>
      <c r="BB105" s="7"/>
      <c r="BC105" s="9" t="s">
        <v>82</v>
      </c>
      <c r="BD105" s="9" t="s">
        <v>82</v>
      </c>
      <c r="BE105" s="10" t="str">
        <f t="shared" si="4"/>
        <v>subtropic</v>
      </c>
      <c r="BF105" s="11"/>
    </row>
    <row r="106" ht="57" spans="1:58">
      <c r="A106">
        <v>126</v>
      </c>
      <c r="B106" t="s">
        <v>678</v>
      </c>
      <c r="C106" t="s">
        <v>681</v>
      </c>
      <c r="D106">
        <v>2018</v>
      </c>
      <c r="E106" s="12" t="s">
        <v>682</v>
      </c>
      <c r="F106" t="s">
        <v>276</v>
      </c>
      <c r="G106">
        <v>38.33</v>
      </c>
      <c r="H106">
        <v>-76.5</v>
      </c>
      <c r="I106">
        <v>14</v>
      </c>
      <c r="J106" t="s">
        <v>89</v>
      </c>
      <c r="K106" t="s">
        <v>182</v>
      </c>
      <c r="L106" t="s">
        <v>183</v>
      </c>
      <c r="M106" t="s">
        <v>562</v>
      </c>
      <c r="N106" t="s">
        <v>113</v>
      </c>
      <c r="O106" t="s">
        <v>114</v>
      </c>
      <c r="P106" t="s">
        <v>563</v>
      </c>
      <c r="Q106" t="s">
        <v>116</v>
      </c>
      <c r="R106" t="s">
        <v>75</v>
      </c>
      <c r="S106" s="1" t="s">
        <v>683</v>
      </c>
      <c r="T106" s="1" t="s">
        <v>172</v>
      </c>
      <c r="U106" s="1" t="s">
        <v>281</v>
      </c>
      <c r="V106" s="1" t="s">
        <v>538</v>
      </c>
      <c r="W106" s="13">
        <v>203</v>
      </c>
      <c r="X106" s="13" t="s">
        <v>93</v>
      </c>
      <c r="Y106" s="13" t="s">
        <v>94</v>
      </c>
      <c r="Z106" s="4">
        <v>4.646</v>
      </c>
      <c r="AA106" s="3">
        <v>5</v>
      </c>
      <c r="AB106" s="3">
        <v>0.625</v>
      </c>
      <c r="AC106" s="4">
        <v>5.162</v>
      </c>
      <c r="AD106" s="3">
        <v>4</v>
      </c>
      <c r="AE106" s="3">
        <v>0.394</v>
      </c>
      <c r="AF106" s="5" t="s">
        <v>81</v>
      </c>
      <c r="AG106" s="14">
        <v>0.995</v>
      </c>
      <c r="AH106" s="14">
        <v>5</v>
      </c>
      <c r="AI106" s="14">
        <v>0.125</v>
      </c>
      <c r="AJ106" s="14">
        <v>1.239</v>
      </c>
      <c r="AK106" s="14">
        <v>4</v>
      </c>
      <c r="AL106" s="14">
        <v>0.086</v>
      </c>
      <c r="AM106" s="7"/>
      <c r="AN106" s="15"/>
      <c r="AO106" s="15"/>
      <c r="AP106" s="7"/>
      <c r="AQ106" s="7"/>
      <c r="AR106" s="7"/>
      <c r="AS106" s="7"/>
      <c r="AT106" s="7"/>
      <c r="AU106" s="7"/>
      <c r="AV106" s="7"/>
      <c r="AW106" s="7"/>
      <c r="AX106" s="7"/>
      <c r="AY106" s="7"/>
      <c r="AZ106" s="8"/>
      <c r="BA106" s="1"/>
      <c r="BB106" s="7"/>
      <c r="BC106" s="9" t="s">
        <v>626</v>
      </c>
      <c r="BD106" s="9" t="s">
        <v>126</v>
      </c>
      <c r="BE106" s="10" t="str">
        <f t="shared" si="4"/>
        <v>subtropic</v>
      </c>
      <c r="BF106" s="11"/>
    </row>
    <row r="107" ht="42.75" spans="1:58">
      <c r="A107">
        <v>127</v>
      </c>
      <c r="B107" t="s">
        <v>684</v>
      </c>
      <c r="C107" t="s">
        <v>687</v>
      </c>
      <c r="D107">
        <v>2018</v>
      </c>
      <c r="E107" s="12" t="s">
        <v>688</v>
      </c>
      <c r="F107" t="s">
        <v>356</v>
      </c>
      <c r="G107">
        <v>-33.6</v>
      </c>
      <c r="H107">
        <v>150.3</v>
      </c>
      <c r="I107">
        <v>15</v>
      </c>
      <c r="J107" t="s">
        <v>357</v>
      </c>
      <c r="K107" t="s">
        <v>182</v>
      </c>
      <c r="L107" t="s">
        <v>358</v>
      </c>
      <c r="M107" t="s">
        <v>359</v>
      </c>
      <c r="N107" t="s">
        <v>267</v>
      </c>
      <c r="O107" t="s">
        <v>268</v>
      </c>
      <c r="P107" t="s">
        <v>360</v>
      </c>
      <c r="Q107" t="s">
        <v>74</v>
      </c>
      <c r="R107" t="s">
        <v>75</v>
      </c>
      <c r="S107" s="1" t="s">
        <v>172</v>
      </c>
      <c r="T107" s="1" t="s">
        <v>172</v>
      </c>
      <c r="U107" s="1" t="s">
        <v>172</v>
      </c>
      <c r="V107" s="1" t="s">
        <v>173</v>
      </c>
      <c r="W107" s="13">
        <v>34</v>
      </c>
      <c r="X107" s="13" t="s">
        <v>79</v>
      </c>
      <c r="Y107" s="13" t="s">
        <v>80</v>
      </c>
      <c r="Z107" s="3">
        <v>9.595</v>
      </c>
      <c r="AA107" s="3">
        <v>5</v>
      </c>
      <c r="AB107" s="3">
        <v>2.351</v>
      </c>
      <c r="AC107" s="4">
        <v>4.566</v>
      </c>
      <c r="AD107" s="3">
        <v>5</v>
      </c>
      <c r="AE107" s="3">
        <v>0.754</v>
      </c>
      <c r="AF107" s="5"/>
      <c r="AG107" s="14"/>
      <c r="AH107" s="14"/>
      <c r="AI107" s="14"/>
      <c r="AJ107" s="14"/>
      <c r="AK107" s="14"/>
      <c r="AL107" s="14"/>
      <c r="AM107" s="7"/>
      <c r="AN107" s="15"/>
      <c r="AO107" s="15"/>
      <c r="AP107" s="7"/>
      <c r="AQ107" s="7"/>
      <c r="AR107" s="7"/>
      <c r="AS107" s="7"/>
      <c r="AT107" s="7"/>
      <c r="AU107" s="7"/>
      <c r="AV107" s="7"/>
      <c r="AW107" s="7"/>
      <c r="AX107" s="7"/>
      <c r="AY107" s="7"/>
      <c r="AZ107" s="8"/>
      <c r="BA107" s="1"/>
      <c r="BB107" s="7"/>
      <c r="BC107" s="9" t="s">
        <v>361</v>
      </c>
      <c r="BD107" s="9" t="s">
        <v>126</v>
      </c>
      <c r="BE107" s="10" t="str">
        <f t="shared" si="4"/>
        <v>subtropic</v>
      </c>
      <c r="BF107" s="11"/>
    </row>
    <row r="108" ht="57" spans="1:58">
      <c r="A108">
        <v>128</v>
      </c>
      <c r="B108" t="s">
        <v>689</v>
      </c>
      <c r="C108" t="s">
        <v>692</v>
      </c>
      <c r="D108">
        <v>2017</v>
      </c>
      <c r="E108" s="12" t="s">
        <v>693</v>
      </c>
      <c r="F108" t="s">
        <v>237</v>
      </c>
      <c r="G108">
        <v>51.7593</v>
      </c>
      <c r="H108">
        <v>19.4559</v>
      </c>
      <c r="I108">
        <v>26</v>
      </c>
      <c r="J108" t="s">
        <v>181</v>
      </c>
      <c r="K108" t="s">
        <v>182</v>
      </c>
      <c r="L108" t="s">
        <v>183</v>
      </c>
      <c r="M108" t="s">
        <v>277</v>
      </c>
      <c r="N108" t="s">
        <v>278</v>
      </c>
      <c r="O108" t="s">
        <v>277</v>
      </c>
      <c r="P108" t="s">
        <v>279</v>
      </c>
      <c r="Q108" t="s">
        <v>280</v>
      </c>
      <c r="R108" t="s">
        <v>75</v>
      </c>
      <c r="S108" s="1" t="s">
        <v>694</v>
      </c>
      <c r="T108" s="1" t="s">
        <v>344</v>
      </c>
      <c r="U108" s="1" t="s">
        <v>344</v>
      </c>
      <c r="V108" s="1" t="s">
        <v>344</v>
      </c>
      <c r="W108" s="13">
        <v>17.5</v>
      </c>
      <c r="X108" s="13" t="s">
        <v>79</v>
      </c>
      <c r="Y108" s="13" t="s">
        <v>80</v>
      </c>
      <c r="Z108" s="3">
        <v>6.588</v>
      </c>
      <c r="AA108" s="3">
        <v>6</v>
      </c>
      <c r="AB108" s="3">
        <v>3.705</v>
      </c>
      <c r="AC108" s="4">
        <v>3.662</v>
      </c>
      <c r="AD108" s="3">
        <v>9</v>
      </c>
      <c r="AE108" s="3">
        <v>2.765</v>
      </c>
      <c r="AF108" s="5" t="s">
        <v>81</v>
      </c>
      <c r="AG108" s="14">
        <v>0.837</v>
      </c>
      <c r="AH108" s="14">
        <v>6</v>
      </c>
      <c r="AI108" s="14">
        <v>0.598</v>
      </c>
      <c r="AJ108" s="14">
        <v>0.668</v>
      </c>
      <c r="AK108" s="14">
        <v>9</v>
      </c>
      <c r="AL108" s="14">
        <v>0.568</v>
      </c>
      <c r="AM108" s="7"/>
      <c r="AN108" s="15"/>
      <c r="AO108" s="15"/>
      <c r="AP108" s="7"/>
      <c r="AQ108" s="7"/>
      <c r="AR108" s="7"/>
      <c r="AS108" s="7"/>
      <c r="AT108" s="7"/>
      <c r="AU108" s="7"/>
      <c r="AV108" s="7"/>
      <c r="AW108" s="7"/>
      <c r="AX108" s="7"/>
      <c r="AY108" s="7"/>
      <c r="AZ108" s="8"/>
      <c r="BA108" s="1" t="s">
        <v>695</v>
      </c>
      <c r="BB108" s="7"/>
      <c r="BC108" s="9" t="s">
        <v>82</v>
      </c>
      <c r="BD108" s="9" t="s">
        <v>82</v>
      </c>
      <c r="BE108" s="10" t="str">
        <f t="shared" si="4"/>
        <v>temperate</v>
      </c>
      <c r="BF108" s="11"/>
    </row>
    <row r="109" ht="42.75" spans="1:58">
      <c r="A109">
        <v>129</v>
      </c>
      <c r="B109" t="s">
        <v>696</v>
      </c>
      <c r="C109" t="s">
        <v>699</v>
      </c>
      <c r="D109">
        <v>2017</v>
      </c>
      <c r="E109" s="12" t="s">
        <v>700</v>
      </c>
      <c r="F109" t="s">
        <v>476</v>
      </c>
      <c r="G109">
        <v>52.4823</v>
      </c>
      <c r="H109">
        <v>1.89</v>
      </c>
      <c r="I109">
        <v>15</v>
      </c>
      <c r="J109" t="s">
        <v>357</v>
      </c>
      <c r="K109" t="s">
        <v>182</v>
      </c>
      <c r="L109" t="s">
        <v>183</v>
      </c>
      <c r="M109" t="s">
        <v>277</v>
      </c>
      <c r="N109" t="s">
        <v>278</v>
      </c>
      <c r="O109" t="s">
        <v>277</v>
      </c>
      <c r="P109" t="s">
        <v>279</v>
      </c>
      <c r="Q109" t="s">
        <v>280</v>
      </c>
      <c r="R109" t="s">
        <v>75</v>
      </c>
      <c r="S109" s="1" t="s">
        <v>172</v>
      </c>
      <c r="T109" s="1" t="s">
        <v>172</v>
      </c>
      <c r="U109" s="1" t="s">
        <v>172</v>
      </c>
      <c r="V109" s="1" t="s">
        <v>173</v>
      </c>
      <c r="W109" s="13">
        <v>26</v>
      </c>
      <c r="X109" s="13" t="s">
        <v>79</v>
      </c>
      <c r="Y109" s="13" t="s">
        <v>80</v>
      </c>
      <c r="Z109" s="3">
        <v>69</v>
      </c>
      <c r="AA109" s="3">
        <v>10</v>
      </c>
      <c r="AB109" s="3">
        <v>10.6</v>
      </c>
      <c r="AC109" s="4">
        <v>23</v>
      </c>
      <c r="AD109" s="3">
        <v>7</v>
      </c>
      <c r="AE109" s="3">
        <v>9.3</v>
      </c>
      <c r="AF109" s="5" t="s">
        <v>81</v>
      </c>
      <c r="AG109" s="14">
        <v>2.59</v>
      </c>
      <c r="AH109" s="14">
        <v>10</v>
      </c>
      <c r="AI109" s="14">
        <v>0.39</v>
      </c>
      <c r="AJ109" s="14">
        <v>1.39</v>
      </c>
      <c r="AK109" s="14">
        <v>7</v>
      </c>
      <c r="AL109" s="14">
        <v>0.54</v>
      </c>
      <c r="AM109" s="7"/>
      <c r="AN109" s="15"/>
      <c r="AO109" s="15"/>
      <c r="AP109" s="7"/>
      <c r="AQ109" s="7"/>
      <c r="AR109" s="7"/>
      <c r="AS109" s="7"/>
      <c r="AT109" s="7"/>
      <c r="AU109" s="7"/>
      <c r="AV109" s="7"/>
      <c r="AW109" s="7"/>
      <c r="AX109" s="7"/>
      <c r="AY109" s="7"/>
      <c r="AZ109" s="8"/>
      <c r="BA109" s="1"/>
      <c r="BB109" s="7"/>
      <c r="BC109" s="9" t="s">
        <v>82</v>
      </c>
      <c r="BD109" s="9" t="s">
        <v>82</v>
      </c>
      <c r="BE109" s="10" t="str">
        <f t="shared" si="4"/>
        <v>temperate</v>
      </c>
      <c r="BF109" s="11"/>
    </row>
    <row r="110" ht="28.5" spans="1:58">
      <c r="A110">
        <v>130</v>
      </c>
      <c r="B110" t="s">
        <v>696</v>
      </c>
      <c r="C110" t="s">
        <v>699</v>
      </c>
      <c r="D110">
        <v>2017</v>
      </c>
      <c r="E110" s="12" t="s">
        <v>700</v>
      </c>
      <c r="F110" t="s">
        <v>476</v>
      </c>
      <c r="G110">
        <v>52.4823</v>
      </c>
      <c r="H110">
        <v>1.89</v>
      </c>
      <c r="I110">
        <v>15</v>
      </c>
      <c r="J110" t="s">
        <v>357</v>
      </c>
      <c r="K110" t="s">
        <v>182</v>
      </c>
      <c r="L110" t="s">
        <v>183</v>
      </c>
      <c r="M110" t="s">
        <v>277</v>
      </c>
      <c r="N110" t="s">
        <v>278</v>
      </c>
      <c r="O110" t="s">
        <v>277</v>
      </c>
      <c r="P110" t="s">
        <v>279</v>
      </c>
      <c r="Q110" t="s">
        <v>280</v>
      </c>
      <c r="R110" t="s">
        <v>191</v>
      </c>
      <c r="S110" s="1" t="s">
        <v>220</v>
      </c>
      <c r="T110" s="1" t="s">
        <v>191</v>
      </c>
      <c r="U110" s="1" t="s">
        <v>191</v>
      </c>
      <c r="V110" s="1" t="s">
        <v>191</v>
      </c>
      <c r="W110" s="13">
        <v>26</v>
      </c>
      <c r="X110" s="13" t="s">
        <v>79</v>
      </c>
      <c r="Y110" s="13" t="s">
        <v>80</v>
      </c>
      <c r="Z110" s="3">
        <v>11.8</v>
      </c>
      <c r="AA110" s="3">
        <v>10</v>
      </c>
      <c r="AB110" s="3">
        <v>4.1</v>
      </c>
      <c r="AC110" s="4">
        <v>1.7</v>
      </c>
      <c r="AD110" s="3">
        <v>7</v>
      </c>
      <c r="AE110" s="3">
        <v>1.7</v>
      </c>
      <c r="AF110" s="5"/>
      <c r="AG110" s="14"/>
      <c r="AH110" s="14"/>
      <c r="AI110" s="14"/>
      <c r="AJ110" s="14"/>
      <c r="AK110" s="14"/>
      <c r="AL110" s="14"/>
      <c r="AM110" s="7"/>
      <c r="AN110" s="15"/>
      <c r="AO110" s="15"/>
      <c r="AP110" s="7"/>
      <c r="AQ110" s="7"/>
      <c r="AR110" s="7"/>
      <c r="AS110" s="7"/>
      <c r="AT110" s="7"/>
      <c r="AU110" s="7"/>
      <c r="AV110" s="7"/>
      <c r="AW110" s="7"/>
      <c r="AX110" s="7"/>
      <c r="AY110" s="7"/>
      <c r="AZ110" s="8"/>
      <c r="BA110" s="1"/>
      <c r="BB110" s="7"/>
      <c r="BC110" s="9" t="s">
        <v>82</v>
      </c>
      <c r="BD110" s="9" t="s">
        <v>82</v>
      </c>
      <c r="BE110" s="10" t="str">
        <f t="shared" si="4"/>
        <v>temperate</v>
      </c>
      <c r="BF110" s="11"/>
    </row>
    <row r="111" ht="57" spans="1:58">
      <c r="A111">
        <v>131</v>
      </c>
      <c r="B111" t="s">
        <v>701</v>
      </c>
      <c r="C111" t="s">
        <v>704</v>
      </c>
      <c r="D111">
        <v>2017</v>
      </c>
      <c r="E111" s="12" t="s">
        <v>705</v>
      </c>
      <c r="F111" t="s">
        <v>276</v>
      </c>
      <c r="G111">
        <v>30.3819</v>
      </c>
      <c r="H111">
        <v>-87.4356</v>
      </c>
      <c r="I111">
        <v>14</v>
      </c>
      <c r="J111" t="s">
        <v>89</v>
      </c>
      <c r="K111" t="s">
        <v>182</v>
      </c>
      <c r="L111" t="s">
        <v>183</v>
      </c>
      <c r="M111" t="s">
        <v>706</v>
      </c>
      <c r="N111" t="s">
        <v>267</v>
      </c>
      <c r="O111" t="s">
        <v>268</v>
      </c>
      <c r="P111" t="s">
        <v>524</v>
      </c>
      <c r="Q111" t="s">
        <v>116</v>
      </c>
      <c r="R111" t="s">
        <v>75</v>
      </c>
      <c r="S111" s="1" t="s">
        <v>117</v>
      </c>
      <c r="T111" s="1" t="s">
        <v>117</v>
      </c>
      <c r="U111" s="1" t="s">
        <v>117</v>
      </c>
      <c r="V111" s="1" t="s">
        <v>118</v>
      </c>
      <c r="W111" s="13">
        <v>18.5</v>
      </c>
      <c r="X111" s="13" t="s">
        <v>79</v>
      </c>
      <c r="Y111" s="13" t="s">
        <v>80</v>
      </c>
      <c r="Z111" s="3">
        <v>6.2</v>
      </c>
      <c r="AA111" s="3">
        <v>3</v>
      </c>
      <c r="AB111" s="3">
        <v>0.2</v>
      </c>
      <c r="AC111" s="4">
        <v>5.6</v>
      </c>
      <c r="AD111" s="3">
        <v>3</v>
      </c>
      <c r="AE111" s="3">
        <v>0.3</v>
      </c>
      <c r="AF111" s="5" t="s">
        <v>81</v>
      </c>
      <c r="AG111" s="14">
        <v>0.78</v>
      </c>
      <c r="AH111" s="14">
        <v>3</v>
      </c>
      <c r="AI111" s="14">
        <v>0.11</v>
      </c>
      <c r="AJ111" s="14">
        <v>1.14</v>
      </c>
      <c r="AK111" s="14">
        <v>3</v>
      </c>
      <c r="AL111" s="14">
        <v>0.11</v>
      </c>
      <c r="AM111" s="7"/>
      <c r="AN111" s="15"/>
      <c r="AO111" s="15"/>
      <c r="AP111" s="7"/>
      <c r="AQ111" s="7"/>
      <c r="AR111" s="7"/>
      <c r="AS111" s="7"/>
      <c r="AT111" s="7"/>
      <c r="AU111" s="7"/>
      <c r="AV111" s="7"/>
      <c r="AW111" s="7"/>
      <c r="AX111" s="7"/>
      <c r="AY111" s="7"/>
      <c r="AZ111" s="8"/>
      <c r="BA111" s="1"/>
      <c r="BB111" s="7"/>
      <c r="BC111" s="9" t="s">
        <v>626</v>
      </c>
      <c r="BD111" s="9" t="s">
        <v>126</v>
      </c>
      <c r="BE111" s="10" t="str">
        <f t="shared" si="4"/>
        <v>subtropic</v>
      </c>
      <c r="BF111" s="11"/>
    </row>
    <row r="112" ht="42.75" spans="1:58">
      <c r="A112">
        <v>132</v>
      </c>
      <c r="B112" t="s">
        <v>707</v>
      </c>
      <c r="C112" t="s">
        <v>710</v>
      </c>
      <c r="D112">
        <v>2016</v>
      </c>
      <c r="E112" s="12" t="s">
        <v>711</v>
      </c>
      <c r="F112" t="s">
        <v>276</v>
      </c>
      <c r="G112">
        <v>33.814</v>
      </c>
      <c r="H112">
        <v>-83.306</v>
      </c>
      <c r="I112">
        <v>14</v>
      </c>
      <c r="J112" t="s">
        <v>89</v>
      </c>
      <c r="K112" t="s">
        <v>182</v>
      </c>
      <c r="L112" t="s">
        <v>183</v>
      </c>
      <c r="M112" t="s">
        <v>72</v>
      </c>
      <c r="N112" t="s">
        <v>72</v>
      </c>
      <c r="O112" t="s">
        <v>72</v>
      </c>
      <c r="P112" t="s">
        <v>73</v>
      </c>
      <c r="Q112" t="s">
        <v>74</v>
      </c>
      <c r="R112" t="s">
        <v>75</v>
      </c>
      <c r="S112" s="1" t="s">
        <v>172</v>
      </c>
      <c r="T112" s="1" t="s">
        <v>172</v>
      </c>
      <c r="U112" s="1" t="s">
        <v>172</v>
      </c>
      <c r="V112" s="1" t="s">
        <v>173</v>
      </c>
      <c r="W112" s="13">
        <v>22.4</v>
      </c>
      <c r="X112" s="13" t="s">
        <v>79</v>
      </c>
      <c r="Y112" s="13" t="s">
        <v>80</v>
      </c>
      <c r="Z112" s="3">
        <v>27.333</v>
      </c>
      <c r="AA112" s="3">
        <v>3</v>
      </c>
      <c r="AB112" s="3">
        <v>2.055</v>
      </c>
      <c r="AC112" s="4">
        <v>16.333</v>
      </c>
      <c r="AD112" s="3">
        <v>3</v>
      </c>
      <c r="AE112" s="3">
        <v>1.247</v>
      </c>
      <c r="AF112" s="5"/>
      <c r="AG112" s="14"/>
      <c r="AH112" s="14"/>
      <c r="AI112" s="14"/>
      <c r="AJ112" s="14"/>
      <c r="AK112" s="14"/>
      <c r="AL112" s="14"/>
      <c r="AM112" s="7"/>
      <c r="AN112" s="15"/>
      <c r="AO112" s="15"/>
      <c r="AP112" s="7"/>
      <c r="AQ112" s="7"/>
      <c r="AR112" s="7"/>
      <c r="AS112" s="7"/>
      <c r="AT112" s="7"/>
      <c r="AU112" s="7"/>
      <c r="AV112" s="7"/>
      <c r="AW112" s="7"/>
      <c r="AX112" s="7"/>
      <c r="AY112" s="7"/>
      <c r="AZ112" s="8"/>
      <c r="BA112" s="1"/>
      <c r="BB112" s="7"/>
      <c r="BC112" s="9" t="s">
        <v>82</v>
      </c>
      <c r="BD112" s="9" t="s">
        <v>82</v>
      </c>
      <c r="BE112" s="10" t="str">
        <f t="shared" si="4"/>
        <v>subtropic</v>
      </c>
      <c r="BF112" s="11"/>
    </row>
    <row r="113" ht="42.75" spans="1:58">
      <c r="A113">
        <v>133</v>
      </c>
      <c r="B113" t="s">
        <v>712</v>
      </c>
      <c r="C113" t="s">
        <v>715</v>
      </c>
      <c r="D113">
        <v>2016</v>
      </c>
      <c r="E113" s="12" t="s">
        <v>716</v>
      </c>
      <c r="F113" t="s">
        <v>511</v>
      </c>
      <c r="G113">
        <v>18.248</v>
      </c>
      <c r="H113">
        <v>-66.1393</v>
      </c>
      <c r="I113">
        <v>1</v>
      </c>
      <c r="J113" t="s">
        <v>512</v>
      </c>
      <c r="K113" t="s">
        <v>182</v>
      </c>
      <c r="L113" t="s">
        <v>146</v>
      </c>
      <c r="M113" t="s">
        <v>72</v>
      </c>
      <c r="N113" t="s">
        <v>72</v>
      </c>
      <c r="O113" t="s">
        <v>72</v>
      </c>
      <c r="P113" t="s">
        <v>73</v>
      </c>
      <c r="Q113" t="s">
        <v>74</v>
      </c>
      <c r="R113" t="s">
        <v>75</v>
      </c>
      <c r="S113" s="1" t="s">
        <v>717</v>
      </c>
      <c r="T113" s="1" t="s">
        <v>172</v>
      </c>
      <c r="U113" s="1" t="s">
        <v>172</v>
      </c>
      <c r="V113" s="1" t="s">
        <v>173</v>
      </c>
      <c r="W113" s="13">
        <v>16.3</v>
      </c>
      <c r="X113" s="13" t="s">
        <v>79</v>
      </c>
      <c r="Y113" s="13" t="s">
        <v>80</v>
      </c>
      <c r="Z113" s="3">
        <v>5.458</v>
      </c>
      <c r="AA113" s="3">
        <v>9</v>
      </c>
      <c r="AB113" s="3">
        <v>2.106</v>
      </c>
      <c r="AC113" s="4">
        <v>1.667</v>
      </c>
      <c r="AD113" s="3">
        <v>9</v>
      </c>
      <c r="AE113" s="3">
        <v>1.685</v>
      </c>
      <c r="AF113" s="5" t="s">
        <v>81</v>
      </c>
      <c r="AG113" s="14">
        <v>1.244</v>
      </c>
      <c r="AH113" s="14">
        <v>9</v>
      </c>
      <c r="AI113" s="14">
        <v>0.282</v>
      </c>
      <c r="AJ113" s="19">
        <v>0.31</v>
      </c>
      <c r="AK113" s="14">
        <v>9</v>
      </c>
      <c r="AL113" s="14">
        <v>0.304</v>
      </c>
      <c r="AM113" s="7"/>
      <c r="AN113" s="15"/>
      <c r="AO113" s="15"/>
      <c r="AP113" s="7"/>
      <c r="AQ113" s="7"/>
      <c r="AR113" s="7"/>
      <c r="AS113" s="7"/>
      <c r="AT113" s="7"/>
      <c r="AU113" s="7"/>
      <c r="AV113" s="7"/>
      <c r="AW113" s="7"/>
      <c r="AX113" s="7"/>
      <c r="AY113" s="7"/>
      <c r="AZ113" s="8" t="s">
        <v>718</v>
      </c>
      <c r="BA113" s="1"/>
      <c r="BB113" s="7"/>
      <c r="BC113" s="9" t="s">
        <v>515</v>
      </c>
      <c r="BD113" s="9" t="s">
        <v>126</v>
      </c>
      <c r="BE113" s="10" t="str">
        <f t="shared" si="4"/>
        <v>tropic</v>
      </c>
      <c r="BF113" s="11"/>
    </row>
    <row r="114" ht="28.5" spans="1:58">
      <c r="A114">
        <v>135</v>
      </c>
      <c r="B114" t="s">
        <v>720</v>
      </c>
      <c r="C114" t="s">
        <v>723</v>
      </c>
      <c r="D114">
        <v>2016</v>
      </c>
      <c r="E114" s="12" t="s">
        <v>724</v>
      </c>
      <c r="F114" t="s">
        <v>145</v>
      </c>
      <c r="G114">
        <v>-8.0667</v>
      </c>
      <c r="H114">
        <v>-35.4833</v>
      </c>
      <c r="I114">
        <v>3</v>
      </c>
      <c r="J114" t="s">
        <v>388</v>
      </c>
      <c r="K114" t="s">
        <v>70</v>
      </c>
      <c r="L114" t="s">
        <v>146</v>
      </c>
      <c r="M114" t="s">
        <v>72</v>
      </c>
      <c r="N114" t="s">
        <v>72</v>
      </c>
      <c r="O114" t="s">
        <v>72</v>
      </c>
      <c r="P114" t="s">
        <v>73</v>
      </c>
      <c r="Q114" t="s">
        <v>74</v>
      </c>
      <c r="R114" t="s">
        <v>191</v>
      </c>
      <c r="S114" s="1" t="s">
        <v>220</v>
      </c>
      <c r="T114" s="1" t="s">
        <v>191</v>
      </c>
      <c r="U114" s="1" t="s">
        <v>191</v>
      </c>
      <c r="V114" s="1" t="s">
        <v>191</v>
      </c>
      <c r="W114" s="13">
        <v>15.4</v>
      </c>
      <c r="X114" s="13" t="s">
        <v>79</v>
      </c>
      <c r="Y114" s="13" t="s">
        <v>80</v>
      </c>
      <c r="Z114" s="3"/>
      <c r="AA114" s="3"/>
      <c r="AB114" s="3"/>
      <c r="AC114" s="4"/>
      <c r="AD114" s="3"/>
      <c r="AE114" s="3"/>
      <c r="AF114" s="5" t="s">
        <v>81</v>
      </c>
      <c r="AG114" s="14">
        <v>0.59</v>
      </c>
      <c r="AH114" s="14">
        <v>4</v>
      </c>
      <c r="AI114" s="14">
        <v>0.638</v>
      </c>
      <c r="AJ114" s="14">
        <v>0.58</v>
      </c>
      <c r="AK114" s="14">
        <v>4</v>
      </c>
      <c r="AL114" s="14">
        <v>0.372</v>
      </c>
      <c r="AM114" s="7"/>
      <c r="AN114" s="15"/>
      <c r="AO114" s="15"/>
      <c r="AP114" s="7"/>
      <c r="AQ114" s="7"/>
      <c r="AR114" s="7"/>
      <c r="AS114" s="7"/>
      <c r="AT114" s="7"/>
      <c r="AU114" s="7"/>
      <c r="AV114" s="7"/>
      <c r="AW114" s="7"/>
      <c r="AX114" s="7"/>
      <c r="AY114" s="7"/>
      <c r="AZ114" s="8"/>
      <c r="BA114" s="1"/>
      <c r="BB114" s="7"/>
      <c r="BC114" s="9" t="s">
        <v>153</v>
      </c>
      <c r="BD114" s="9" t="s">
        <v>126</v>
      </c>
      <c r="BE114" s="10" t="str">
        <f t="shared" ref="BE114:BE141" si="5">IF(ABS(G114)&lt;23.5,"tropic",IF(ABS(G114)&lt;40,"subtropic",IF(ABS(G114)&lt;60,"temperate","arctic")))</f>
        <v>tropic</v>
      </c>
      <c r="BF114" s="11"/>
    </row>
    <row r="115" ht="42.75" spans="1:58">
      <c r="A115">
        <v>136</v>
      </c>
      <c r="B115" t="s">
        <v>725</v>
      </c>
      <c r="C115" t="s">
        <v>728</v>
      </c>
      <c r="D115">
        <v>2016</v>
      </c>
      <c r="E115" s="12" t="s">
        <v>729</v>
      </c>
      <c r="F115" t="s">
        <v>356</v>
      </c>
      <c r="G115">
        <v>-33.7223</v>
      </c>
      <c r="H115">
        <v>151.2984</v>
      </c>
      <c r="I115">
        <v>14</v>
      </c>
      <c r="J115" t="s">
        <v>89</v>
      </c>
      <c r="K115" t="s">
        <v>182</v>
      </c>
      <c r="L115" t="s">
        <v>358</v>
      </c>
      <c r="M115" t="s">
        <v>257</v>
      </c>
      <c r="N115" t="s">
        <v>113</v>
      </c>
      <c r="O115" t="s">
        <v>257</v>
      </c>
      <c r="P115" t="s">
        <v>258</v>
      </c>
      <c r="Q115" t="s">
        <v>116</v>
      </c>
      <c r="R115" t="s">
        <v>75</v>
      </c>
      <c r="S115" s="1" t="s">
        <v>730</v>
      </c>
      <c r="T115" s="1" t="s">
        <v>172</v>
      </c>
      <c r="U115" s="1" t="s">
        <v>286</v>
      </c>
      <c r="V115" s="1" t="s">
        <v>287</v>
      </c>
      <c r="W115" s="13">
        <v>173</v>
      </c>
      <c r="X115" s="13" t="s">
        <v>174</v>
      </c>
      <c r="Y115" s="13" t="s">
        <v>94</v>
      </c>
      <c r="Z115" s="3">
        <v>4.352</v>
      </c>
      <c r="AA115" s="3">
        <v>3</v>
      </c>
      <c r="AB115" s="3">
        <v>1.42</v>
      </c>
      <c r="AC115" s="4">
        <v>2.371</v>
      </c>
      <c r="AD115" s="3">
        <v>3</v>
      </c>
      <c r="AE115" s="3">
        <v>1.382</v>
      </c>
      <c r="AF115" s="5"/>
      <c r="AG115" s="14"/>
      <c r="AH115" s="14"/>
      <c r="AI115" s="14"/>
      <c r="AJ115" s="14"/>
      <c r="AK115" s="14"/>
      <c r="AL115" s="14"/>
      <c r="AM115" s="7"/>
      <c r="AN115" s="15"/>
      <c r="AO115" s="15"/>
      <c r="AP115" s="7"/>
      <c r="AQ115" s="7"/>
      <c r="AR115" s="7"/>
      <c r="AS115" s="7"/>
      <c r="AT115" s="7"/>
      <c r="AU115" s="7"/>
      <c r="AV115" s="7"/>
      <c r="AW115" s="7"/>
      <c r="AX115" s="7"/>
      <c r="AY115" s="7"/>
      <c r="AZ115" s="8"/>
      <c r="BA115" s="1" t="s">
        <v>731</v>
      </c>
      <c r="BB115" s="7"/>
      <c r="BC115" s="9" t="s">
        <v>82</v>
      </c>
      <c r="BD115" s="9" t="s">
        <v>82</v>
      </c>
      <c r="BE115" s="10" t="str">
        <f t="shared" si="5"/>
        <v>subtropic</v>
      </c>
      <c r="BF115" s="11"/>
    </row>
    <row r="116" ht="42.75" spans="1:58">
      <c r="A116">
        <v>137</v>
      </c>
      <c r="B116" t="s">
        <v>725</v>
      </c>
      <c r="C116" t="s">
        <v>728</v>
      </c>
      <c r="D116">
        <v>2016</v>
      </c>
      <c r="E116" s="12" t="s">
        <v>729</v>
      </c>
      <c r="F116" t="s">
        <v>356</v>
      </c>
      <c r="G116">
        <v>-33.7223</v>
      </c>
      <c r="H116">
        <v>151.2984</v>
      </c>
      <c r="I116">
        <v>14</v>
      </c>
      <c r="J116" t="s">
        <v>89</v>
      </c>
      <c r="K116" t="s">
        <v>182</v>
      </c>
      <c r="L116" t="s">
        <v>358</v>
      </c>
      <c r="M116" t="s">
        <v>257</v>
      </c>
      <c r="N116" t="s">
        <v>113</v>
      </c>
      <c r="O116" t="s">
        <v>257</v>
      </c>
      <c r="P116" t="s">
        <v>258</v>
      </c>
      <c r="Q116" t="s">
        <v>116</v>
      </c>
      <c r="R116" t="s">
        <v>75</v>
      </c>
      <c r="S116" s="1" t="s">
        <v>730</v>
      </c>
      <c r="T116" s="1" t="s">
        <v>172</v>
      </c>
      <c r="U116" s="1" t="s">
        <v>286</v>
      </c>
      <c r="V116" s="1" t="s">
        <v>287</v>
      </c>
      <c r="W116" s="13">
        <v>173</v>
      </c>
      <c r="X116" s="13" t="s">
        <v>174</v>
      </c>
      <c r="Y116" s="13" t="s">
        <v>94</v>
      </c>
      <c r="Z116" s="3">
        <v>2.366</v>
      </c>
      <c r="AA116" s="3">
        <v>3</v>
      </c>
      <c r="AB116" s="3">
        <v>0.872</v>
      </c>
      <c r="AC116" s="4">
        <v>1.667</v>
      </c>
      <c r="AD116" s="3">
        <v>3</v>
      </c>
      <c r="AE116" s="3">
        <v>0.921</v>
      </c>
      <c r="AF116" s="5"/>
      <c r="AG116" s="14"/>
      <c r="AH116" s="14"/>
      <c r="AI116" s="14"/>
      <c r="AJ116" s="14"/>
      <c r="AK116" s="14"/>
      <c r="AL116" s="14"/>
      <c r="AM116" s="7"/>
      <c r="AN116" s="15"/>
      <c r="AO116" s="15"/>
      <c r="AP116" s="7"/>
      <c r="AQ116" s="7"/>
      <c r="AR116" s="7"/>
      <c r="AS116" s="7"/>
      <c r="AT116" s="7"/>
      <c r="AU116" s="7"/>
      <c r="AV116" s="7"/>
      <c r="AW116" s="7"/>
      <c r="AX116" s="7"/>
      <c r="AY116" s="7"/>
      <c r="AZ116" s="8"/>
      <c r="BA116" s="1" t="s">
        <v>733</v>
      </c>
      <c r="BB116" s="7"/>
      <c r="BC116" s="9" t="s">
        <v>82</v>
      </c>
      <c r="BD116" s="9" t="s">
        <v>82</v>
      </c>
      <c r="BE116" s="10" t="str">
        <f t="shared" si="5"/>
        <v>subtropic</v>
      </c>
      <c r="BF116" s="11"/>
    </row>
    <row r="117" ht="42.75" spans="1:58">
      <c r="A117">
        <v>138</v>
      </c>
      <c r="B117" t="s">
        <v>725</v>
      </c>
      <c r="C117" t="s">
        <v>728</v>
      </c>
      <c r="D117">
        <v>2016</v>
      </c>
      <c r="E117" s="12" t="s">
        <v>729</v>
      </c>
      <c r="F117" t="s">
        <v>356</v>
      </c>
      <c r="G117">
        <v>-33.7223</v>
      </c>
      <c r="H117">
        <v>151.2984</v>
      </c>
      <c r="I117">
        <v>14</v>
      </c>
      <c r="J117" t="s">
        <v>89</v>
      </c>
      <c r="K117" t="s">
        <v>182</v>
      </c>
      <c r="L117" t="s">
        <v>358</v>
      </c>
      <c r="M117" t="s">
        <v>257</v>
      </c>
      <c r="N117" t="s">
        <v>113</v>
      </c>
      <c r="O117" t="s">
        <v>257</v>
      </c>
      <c r="P117" t="s">
        <v>258</v>
      </c>
      <c r="Q117" t="s">
        <v>116</v>
      </c>
      <c r="R117" t="s">
        <v>75</v>
      </c>
      <c r="S117" s="1" t="s">
        <v>730</v>
      </c>
      <c r="T117" s="1" t="s">
        <v>172</v>
      </c>
      <c r="U117" s="1" t="s">
        <v>286</v>
      </c>
      <c r="V117" s="1" t="s">
        <v>287</v>
      </c>
      <c r="W117" s="13">
        <v>173</v>
      </c>
      <c r="X117" s="13" t="s">
        <v>174</v>
      </c>
      <c r="Y117" s="13" t="s">
        <v>94</v>
      </c>
      <c r="Z117" s="3">
        <v>1.651</v>
      </c>
      <c r="AA117" s="3">
        <v>3</v>
      </c>
      <c r="AB117" s="3">
        <v>1.234</v>
      </c>
      <c r="AC117" s="4">
        <v>1.004</v>
      </c>
      <c r="AD117" s="3">
        <v>3</v>
      </c>
      <c r="AE117" s="3">
        <v>0.588</v>
      </c>
      <c r="AF117" s="5"/>
      <c r="AG117" s="14"/>
      <c r="AH117" s="14"/>
      <c r="AI117" s="14"/>
      <c r="AJ117" s="14"/>
      <c r="AK117" s="14"/>
      <c r="AL117" s="14"/>
      <c r="AM117" s="7"/>
      <c r="AN117" s="15"/>
      <c r="AO117" s="15"/>
      <c r="AP117" s="7"/>
      <c r="AQ117" s="7"/>
      <c r="AR117" s="7"/>
      <c r="AS117" s="7"/>
      <c r="AT117" s="7"/>
      <c r="AU117" s="7"/>
      <c r="AV117" s="7"/>
      <c r="AW117" s="7"/>
      <c r="AX117" s="7"/>
      <c r="AY117" s="7"/>
      <c r="AZ117" s="8"/>
      <c r="BA117" s="1" t="s">
        <v>735</v>
      </c>
      <c r="BB117" s="7"/>
      <c r="BC117" s="9" t="s">
        <v>82</v>
      </c>
      <c r="BD117" s="9" t="s">
        <v>82</v>
      </c>
      <c r="BE117" s="10" t="str">
        <f t="shared" si="5"/>
        <v>subtropic</v>
      </c>
      <c r="BF117" s="11"/>
    </row>
    <row r="118" ht="42.75" spans="1:58">
      <c r="A118">
        <v>139</v>
      </c>
      <c r="B118" t="s">
        <v>736</v>
      </c>
      <c r="C118" t="s">
        <v>739</v>
      </c>
      <c r="D118">
        <v>2016</v>
      </c>
      <c r="E118" s="12" t="s">
        <v>740</v>
      </c>
      <c r="F118" t="s">
        <v>68</v>
      </c>
      <c r="G118">
        <v>39.9042</v>
      </c>
      <c r="H118">
        <v>116.4074</v>
      </c>
      <c r="I118">
        <v>21</v>
      </c>
      <c r="J118" t="s">
        <v>69</v>
      </c>
      <c r="K118" t="s">
        <v>70</v>
      </c>
      <c r="L118" t="s">
        <v>71</v>
      </c>
      <c r="M118" t="s">
        <v>147</v>
      </c>
      <c r="N118" t="s">
        <v>72</v>
      </c>
      <c r="O118" t="s">
        <v>147</v>
      </c>
      <c r="P118" t="s">
        <v>148</v>
      </c>
      <c r="Q118" t="s">
        <v>74</v>
      </c>
      <c r="R118" t="s">
        <v>90</v>
      </c>
      <c r="S118" s="1" t="s">
        <v>238</v>
      </c>
      <c r="T118" s="1" t="s">
        <v>240</v>
      </c>
      <c r="U118" s="1" t="s">
        <v>241</v>
      </c>
      <c r="V118" s="1" t="s">
        <v>241</v>
      </c>
      <c r="W118" s="13">
        <v>66</v>
      </c>
      <c r="X118" s="13" t="s">
        <v>119</v>
      </c>
      <c r="Y118" s="13" t="s">
        <v>80</v>
      </c>
      <c r="Z118" s="3">
        <v>50.248</v>
      </c>
      <c r="AA118" s="3">
        <v>7</v>
      </c>
      <c r="AB118" s="3">
        <v>11.696</v>
      </c>
      <c r="AC118" s="4">
        <v>33.363</v>
      </c>
      <c r="AD118" s="3">
        <v>16</v>
      </c>
      <c r="AE118" s="3">
        <v>7.143</v>
      </c>
      <c r="AF118" s="5" t="s">
        <v>81</v>
      </c>
      <c r="AG118" s="19">
        <v>6.78</v>
      </c>
      <c r="AH118" s="14">
        <v>7</v>
      </c>
      <c r="AI118" s="14">
        <v>1.267</v>
      </c>
      <c r="AJ118" s="14">
        <v>4.723</v>
      </c>
      <c r="AK118" s="14">
        <v>16</v>
      </c>
      <c r="AL118" s="14">
        <v>1.393</v>
      </c>
      <c r="AM118" s="7"/>
      <c r="AN118" s="15"/>
      <c r="AO118" s="15"/>
      <c r="AP118" s="7"/>
      <c r="AQ118" s="7"/>
      <c r="AR118" s="7"/>
      <c r="AS118" s="7"/>
      <c r="AT118" s="7"/>
      <c r="AU118" s="7"/>
      <c r="AV118" s="7"/>
      <c r="AW118" s="7"/>
      <c r="AX118" s="7"/>
      <c r="AY118" s="7"/>
      <c r="AZ118" s="8"/>
      <c r="BA118" s="1"/>
      <c r="BB118" s="7"/>
      <c r="BC118" s="9" t="s">
        <v>82</v>
      </c>
      <c r="BD118" s="9" t="s">
        <v>82</v>
      </c>
      <c r="BE118" s="10" t="str">
        <f t="shared" si="5"/>
        <v>subtropic</v>
      </c>
      <c r="BF118" s="11"/>
    </row>
    <row r="119" ht="57" spans="1:58">
      <c r="A119">
        <v>140</v>
      </c>
      <c r="B119" t="s">
        <v>741</v>
      </c>
      <c r="C119" t="s">
        <v>744</v>
      </c>
      <c r="D119">
        <v>2016</v>
      </c>
      <c r="E119" s="12" t="s">
        <v>745</v>
      </c>
      <c r="F119" t="s">
        <v>208</v>
      </c>
      <c r="G119">
        <v>-28.6</v>
      </c>
      <c r="H119">
        <v>-57.8167</v>
      </c>
      <c r="I119">
        <v>14</v>
      </c>
      <c r="J119" t="s">
        <v>89</v>
      </c>
      <c r="K119" t="s">
        <v>70</v>
      </c>
      <c r="L119" t="s">
        <v>146</v>
      </c>
      <c r="M119" t="s">
        <v>268</v>
      </c>
      <c r="N119" t="s">
        <v>267</v>
      </c>
      <c r="O119" t="s">
        <v>340</v>
      </c>
      <c r="P119" t="s">
        <v>495</v>
      </c>
      <c r="Q119" t="s">
        <v>74</v>
      </c>
      <c r="R119" t="s">
        <v>75</v>
      </c>
      <c r="S119" s="1" t="s">
        <v>746</v>
      </c>
      <c r="T119" s="1" t="s">
        <v>172</v>
      </c>
      <c r="U119" s="1" t="s">
        <v>324</v>
      </c>
      <c r="V119" s="1" t="s">
        <v>325</v>
      </c>
      <c r="W119" s="13">
        <v>140</v>
      </c>
      <c r="X119" s="13" t="s">
        <v>174</v>
      </c>
      <c r="Y119" s="13" t="s">
        <v>94</v>
      </c>
      <c r="Z119" s="3"/>
      <c r="AA119" s="3"/>
      <c r="AB119" s="3"/>
      <c r="AC119" s="4"/>
      <c r="AD119" s="3"/>
      <c r="AE119" s="3"/>
      <c r="AF119" s="5" t="s">
        <v>81</v>
      </c>
      <c r="AG119" s="14">
        <v>1.364</v>
      </c>
      <c r="AH119" s="14">
        <v>3</v>
      </c>
      <c r="AI119" s="14">
        <v>0.207</v>
      </c>
      <c r="AJ119" s="14">
        <v>1.294</v>
      </c>
      <c r="AK119" s="14">
        <v>3</v>
      </c>
      <c r="AL119" s="14">
        <v>0.052</v>
      </c>
      <c r="AM119" s="7"/>
      <c r="AN119" s="15"/>
      <c r="AO119" s="15"/>
      <c r="AP119" s="7"/>
      <c r="AQ119" s="7"/>
      <c r="AR119" s="7"/>
      <c r="AS119" s="7"/>
      <c r="AT119" s="7"/>
      <c r="AU119" s="7"/>
      <c r="AV119" s="7"/>
      <c r="AW119" s="7"/>
      <c r="AX119" s="7"/>
      <c r="AY119" s="7"/>
      <c r="AZ119" s="8"/>
      <c r="BA119" s="1"/>
      <c r="BB119" s="7"/>
      <c r="BC119" s="9" t="s">
        <v>82</v>
      </c>
      <c r="BD119" s="9" t="s">
        <v>82</v>
      </c>
      <c r="BE119" s="10" t="str">
        <f t="shared" si="5"/>
        <v>subtropic</v>
      </c>
      <c r="BF119" s="11"/>
    </row>
    <row r="120" ht="42.75" spans="1:58">
      <c r="A120">
        <v>141</v>
      </c>
      <c r="B120" t="s">
        <v>747</v>
      </c>
      <c r="C120" t="s">
        <v>750</v>
      </c>
      <c r="D120">
        <v>2016</v>
      </c>
      <c r="E120" s="12" t="s">
        <v>751</v>
      </c>
      <c r="F120" t="s">
        <v>276</v>
      </c>
      <c r="G120">
        <v>47.6061</v>
      </c>
      <c r="H120">
        <v>-122.3328</v>
      </c>
      <c r="I120">
        <v>9</v>
      </c>
      <c r="J120" t="s">
        <v>171</v>
      </c>
      <c r="K120" t="s">
        <v>182</v>
      </c>
      <c r="L120" t="s">
        <v>183</v>
      </c>
      <c r="M120" t="s">
        <v>217</v>
      </c>
      <c r="N120" t="s">
        <v>217</v>
      </c>
      <c r="O120" t="s">
        <v>218</v>
      </c>
      <c r="P120" t="s">
        <v>219</v>
      </c>
      <c r="Q120" t="s">
        <v>74</v>
      </c>
      <c r="R120" t="s">
        <v>75</v>
      </c>
      <c r="S120" s="1" t="s">
        <v>333</v>
      </c>
      <c r="T120" s="1" t="s">
        <v>172</v>
      </c>
      <c r="U120" s="1" t="s">
        <v>286</v>
      </c>
      <c r="V120" s="1" t="s">
        <v>287</v>
      </c>
      <c r="W120" s="13">
        <v>149</v>
      </c>
      <c r="X120" s="13" t="s">
        <v>174</v>
      </c>
      <c r="Y120" s="13" t="s">
        <v>94</v>
      </c>
      <c r="Z120" s="3">
        <v>23.6</v>
      </c>
      <c r="AA120" s="3">
        <v>5</v>
      </c>
      <c r="AB120" s="3">
        <v>3.049</v>
      </c>
      <c r="AC120" s="4">
        <v>20.667</v>
      </c>
      <c r="AD120" s="3">
        <v>3</v>
      </c>
      <c r="AE120" s="3">
        <v>1.527</v>
      </c>
      <c r="AF120" s="5"/>
      <c r="AG120" s="14"/>
      <c r="AH120" s="14"/>
      <c r="AI120" s="14"/>
      <c r="AJ120" s="14"/>
      <c r="AK120" s="14"/>
      <c r="AL120" s="14"/>
      <c r="AM120" s="7"/>
      <c r="AN120" s="15"/>
      <c r="AO120" s="15"/>
      <c r="AP120" s="7"/>
      <c r="AQ120" s="7"/>
      <c r="AR120" s="7"/>
      <c r="AS120" s="7"/>
      <c r="AT120" s="7"/>
      <c r="AU120" s="7"/>
      <c r="AV120" s="7"/>
      <c r="AW120" s="7"/>
      <c r="AX120" s="7"/>
      <c r="AY120" s="7"/>
      <c r="AZ120" s="8"/>
      <c r="BA120" s="1" t="s">
        <v>752</v>
      </c>
      <c r="BB120" s="7"/>
      <c r="BC120" s="9" t="s">
        <v>82</v>
      </c>
      <c r="BD120" s="9" t="s">
        <v>82</v>
      </c>
      <c r="BE120" s="10" t="str">
        <f t="shared" si="5"/>
        <v>temperate</v>
      </c>
      <c r="BF120" s="11"/>
    </row>
    <row r="121" ht="42.75" spans="1:58">
      <c r="A121">
        <v>142</v>
      </c>
      <c r="B121" t="s">
        <v>747</v>
      </c>
      <c r="C121" t="s">
        <v>750</v>
      </c>
      <c r="D121">
        <v>2016</v>
      </c>
      <c r="E121" s="12" t="s">
        <v>751</v>
      </c>
      <c r="F121" t="s">
        <v>276</v>
      </c>
      <c r="G121">
        <v>47.6061</v>
      </c>
      <c r="H121">
        <v>-122.3328</v>
      </c>
      <c r="I121">
        <v>9</v>
      </c>
      <c r="J121" t="s">
        <v>171</v>
      </c>
      <c r="K121" t="s">
        <v>182</v>
      </c>
      <c r="L121" t="s">
        <v>183</v>
      </c>
      <c r="M121" t="s">
        <v>217</v>
      </c>
      <c r="N121" t="s">
        <v>217</v>
      </c>
      <c r="O121" t="s">
        <v>218</v>
      </c>
      <c r="P121" t="s">
        <v>219</v>
      </c>
      <c r="Q121" t="s">
        <v>74</v>
      </c>
      <c r="R121" t="s">
        <v>75</v>
      </c>
      <c r="S121" s="1" t="s">
        <v>333</v>
      </c>
      <c r="T121" s="1" t="s">
        <v>172</v>
      </c>
      <c r="U121" s="1" t="s">
        <v>286</v>
      </c>
      <c r="V121" s="1" t="s">
        <v>287</v>
      </c>
      <c r="W121" s="13">
        <v>149</v>
      </c>
      <c r="X121" s="13" t="s">
        <v>174</v>
      </c>
      <c r="Y121" s="13" t="s">
        <v>94</v>
      </c>
      <c r="Z121" s="3">
        <v>11</v>
      </c>
      <c r="AA121" s="3">
        <v>5</v>
      </c>
      <c r="AB121" s="3">
        <v>2.345</v>
      </c>
      <c r="AC121" s="4">
        <v>9.333</v>
      </c>
      <c r="AD121" s="3">
        <v>3</v>
      </c>
      <c r="AE121" s="3">
        <v>1.527</v>
      </c>
      <c r="AF121" s="5"/>
      <c r="AG121" s="14"/>
      <c r="AH121" s="14"/>
      <c r="AI121" s="14"/>
      <c r="AJ121" s="14"/>
      <c r="AK121" s="14"/>
      <c r="AL121" s="14"/>
      <c r="AM121" s="7"/>
      <c r="AN121" s="15"/>
      <c r="AO121" s="15"/>
      <c r="AP121" s="7"/>
      <c r="AQ121" s="7"/>
      <c r="AR121" s="7"/>
      <c r="AS121" s="7"/>
      <c r="AT121" s="7"/>
      <c r="AU121" s="7"/>
      <c r="AV121" s="7"/>
      <c r="AW121" s="7"/>
      <c r="AX121" s="7"/>
      <c r="AY121" s="7"/>
      <c r="AZ121" s="8"/>
      <c r="BA121" s="1" t="s">
        <v>754</v>
      </c>
      <c r="BB121" s="7"/>
      <c r="BC121" s="9" t="s">
        <v>82</v>
      </c>
      <c r="BD121" s="9" t="s">
        <v>82</v>
      </c>
      <c r="BE121" s="10" t="str">
        <f t="shared" si="5"/>
        <v>temperate</v>
      </c>
      <c r="BF121" s="11"/>
    </row>
    <row r="122" ht="42.75" spans="1:58">
      <c r="A122">
        <v>143</v>
      </c>
      <c r="B122" t="s">
        <v>755</v>
      </c>
      <c r="C122" t="s">
        <v>758</v>
      </c>
      <c r="D122">
        <v>2016</v>
      </c>
      <c r="E122" s="12" t="s">
        <v>759</v>
      </c>
      <c r="F122" t="s">
        <v>760</v>
      </c>
      <c r="G122">
        <v>12.3714</v>
      </c>
      <c r="H122">
        <v>-1.5197</v>
      </c>
      <c r="I122">
        <v>6</v>
      </c>
      <c r="J122" t="s">
        <v>662</v>
      </c>
      <c r="K122" t="s">
        <v>761</v>
      </c>
      <c r="L122" t="s">
        <v>445</v>
      </c>
      <c r="M122" t="s">
        <v>147</v>
      </c>
      <c r="N122" t="s">
        <v>72</v>
      </c>
      <c r="O122" t="s">
        <v>147</v>
      </c>
      <c r="P122" t="s">
        <v>148</v>
      </c>
      <c r="Q122" t="s">
        <v>74</v>
      </c>
      <c r="R122" t="s">
        <v>75</v>
      </c>
      <c r="S122" s="1" t="s">
        <v>172</v>
      </c>
      <c r="T122" s="1" t="s">
        <v>172</v>
      </c>
      <c r="U122" s="1" t="s">
        <v>172</v>
      </c>
      <c r="V122" s="1" t="s">
        <v>173</v>
      </c>
      <c r="W122" s="13">
        <v>416.6</v>
      </c>
      <c r="X122" s="13" t="s">
        <v>93</v>
      </c>
      <c r="Y122" s="13" t="s">
        <v>94</v>
      </c>
      <c r="Z122" s="3">
        <v>15.367</v>
      </c>
      <c r="AA122" s="3">
        <v>3</v>
      </c>
      <c r="AB122" s="3">
        <v>5.017</v>
      </c>
      <c r="AC122" s="4">
        <v>3.4</v>
      </c>
      <c r="AD122" s="3">
        <v>5</v>
      </c>
      <c r="AE122" s="3">
        <v>1.118</v>
      </c>
      <c r="AF122" s="5" t="s">
        <v>81</v>
      </c>
      <c r="AG122" s="14">
        <v>1.613</v>
      </c>
      <c r="AH122" s="14">
        <v>3</v>
      </c>
      <c r="AI122" s="14">
        <v>0.211</v>
      </c>
      <c r="AJ122" s="14">
        <v>0.8</v>
      </c>
      <c r="AK122" s="14">
        <v>5</v>
      </c>
      <c r="AL122" s="14">
        <v>0.224</v>
      </c>
      <c r="AM122" s="7"/>
      <c r="AN122" s="15"/>
      <c r="AO122" s="15"/>
      <c r="AP122" s="7"/>
      <c r="AQ122" s="7"/>
      <c r="AR122" s="7"/>
      <c r="AS122" s="7"/>
      <c r="AT122" s="7"/>
      <c r="AU122" s="7"/>
      <c r="AV122" s="7"/>
      <c r="AW122" s="7"/>
      <c r="AX122" s="7"/>
      <c r="AY122" s="7"/>
      <c r="AZ122" s="8"/>
      <c r="BA122" s="1"/>
      <c r="BB122" s="7"/>
      <c r="BC122" s="9" t="s">
        <v>82</v>
      </c>
      <c r="BD122" s="9" t="s">
        <v>82</v>
      </c>
      <c r="BE122" s="10" t="str">
        <f t="shared" si="5"/>
        <v>tropic</v>
      </c>
      <c r="BF122" s="11"/>
    </row>
    <row r="123" ht="42.75" spans="1:58">
      <c r="A123">
        <v>144</v>
      </c>
      <c r="B123" t="s">
        <v>762</v>
      </c>
      <c r="C123" t="s">
        <v>765</v>
      </c>
      <c r="D123">
        <v>2016</v>
      </c>
      <c r="E123" s="12" t="s">
        <v>766</v>
      </c>
      <c r="F123" t="s">
        <v>145</v>
      </c>
      <c r="G123">
        <v>-24.7258</v>
      </c>
      <c r="H123">
        <v>-53.72</v>
      </c>
      <c r="I123">
        <v>14</v>
      </c>
      <c r="J123" t="s">
        <v>89</v>
      </c>
      <c r="K123" t="s">
        <v>70</v>
      </c>
      <c r="L123" t="s">
        <v>146</v>
      </c>
      <c r="M123" t="s">
        <v>147</v>
      </c>
      <c r="N123" t="s">
        <v>72</v>
      </c>
      <c r="O123" t="s">
        <v>147</v>
      </c>
      <c r="P123" t="s">
        <v>148</v>
      </c>
      <c r="Q123" t="s">
        <v>74</v>
      </c>
      <c r="R123" t="s">
        <v>75</v>
      </c>
      <c r="S123" s="1" t="s">
        <v>767</v>
      </c>
      <c r="T123" s="1" t="s">
        <v>172</v>
      </c>
      <c r="U123" s="1" t="s">
        <v>172</v>
      </c>
      <c r="V123" s="1" t="s">
        <v>173</v>
      </c>
      <c r="W123" s="13">
        <v>51.7</v>
      </c>
      <c r="X123" s="13" t="s">
        <v>119</v>
      </c>
      <c r="Y123" s="13" t="s">
        <v>80</v>
      </c>
      <c r="Z123" s="20">
        <v>4.945</v>
      </c>
      <c r="AA123" s="3">
        <v>15</v>
      </c>
      <c r="AB123" s="3">
        <v>3.706</v>
      </c>
      <c r="AC123" s="4">
        <v>1.933</v>
      </c>
      <c r="AD123" s="3">
        <v>16</v>
      </c>
      <c r="AE123" s="3">
        <v>0.776</v>
      </c>
      <c r="AF123" s="5" t="s">
        <v>81</v>
      </c>
      <c r="AG123" s="14">
        <v>0.812</v>
      </c>
      <c r="AH123" s="14">
        <v>15</v>
      </c>
      <c r="AI123" s="14">
        <v>0.592</v>
      </c>
      <c r="AJ123" s="19">
        <v>0.349</v>
      </c>
      <c r="AK123" s="14">
        <v>16</v>
      </c>
      <c r="AL123" s="14">
        <v>0.268</v>
      </c>
      <c r="AM123" s="7">
        <v>56</v>
      </c>
      <c r="AN123" s="15" t="s">
        <v>768</v>
      </c>
      <c r="AO123" s="15" t="s">
        <v>150</v>
      </c>
      <c r="AP123" s="7" t="s">
        <v>122</v>
      </c>
      <c r="AQ123" s="7">
        <v>0.733556</v>
      </c>
      <c r="AR123" s="7">
        <v>496</v>
      </c>
      <c r="AS123" s="7">
        <v>0.636632</v>
      </c>
      <c r="AT123" s="7">
        <v>1.071489</v>
      </c>
      <c r="AU123" s="7">
        <v>105</v>
      </c>
      <c r="AV123" s="7">
        <v>0.685091</v>
      </c>
      <c r="AW123" s="7">
        <v>0.986364</v>
      </c>
      <c r="AX123" s="7">
        <v>480</v>
      </c>
      <c r="AY123" s="7">
        <v>0.595708</v>
      </c>
      <c r="AZ123" s="8"/>
      <c r="BA123" s="1"/>
      <c r="BB123" s="7"/>
      <c r="BC123" s="9" t="s">
        <v>153</v>
      </c>
      <c r="BD123" s="9" t="s">
        <v>126</v>
      </c>
      <c r="BE123" s="10" t="str">
        <f t="shared" si="5"/>
        <v>subtropic</v>
      </c>
      <c r="BF123" s="11" t="s">
        <v>1028</v>
      </c>
    </row>
    <row r="124" ht="99.75" spans="1:58">
      <c r="A124">
        <v>145</v>
      </c>
      <c r="B124" t="s">
        <v>769</v>
      </c>
      <c r="C124" t="s">
        <v>772</v>
      </c>
      <c r="D124">
        <v>2016</v>
      </c>
      <c r="E124" s="12" t="s">
        <v>773</v>
      </c>
      <c r="F124" t="s">
        <v>774</v>
      </c>
      <c r="G124">
        <v>29</v>
      </c>
      <c r="H124">
        <v>48</v>
      </c>
      <c r="I124">
        <v>4</v>
      </c>
      <c r="J124" t="s">
        <v>775</v>
      </c>
      <c r="K124" t="s">
        <v>182</v>
      </c>
      <c r="L124" t="s">
        <v>776</v>
      </c>
      <c r="M124" t="s">
        <v>523</v>
      </c>
      <c r="N124" t="s">
        <v>113</v>
      </c>
      <c r="O124" t="s">
        <v>268</v>
      </c>
      <c r="P124" t="s">
        <v>524</v>
      </c>
      <c r="Q124" t="s">
        <v>116</v>
      </c>
      <c r="R124" t="s">
        <v>191</v>
      </c>
      <c r="S124" s="1" t="s">
        <v>191</v>
      </c>
      <c r="T124" s="1" t="s">
        <v>191</v>
      </c>
      <c r="U124" s="1" t="s">
        <v>191</v>
      </c>
      <c r="V124" s="1" t="s">
        <v>191</v>
      </c>
      <c r="W124" s="13">
        <v>22.9</v>
      </c>
      <c r="X124" s="13" t="s">
        <v>79</v>
      </c>
      <c r="Y124" s="13" t="s">
        <v>80</v>
      </c>
      <c r="Z124" s="3">
        <v>3.487</v>
      </c>
      <c r="AA124" s="3">
        <v>39</v>
      </c>
      <c r="AB124" s="3">
        <v>1.384</v>
      </c>
      <c r="AC124" s="4">
        <v>2.809</v>
      </c>
      <c r="AD124" s="3">
        <v>47</v>
      </c>
      <c r="AE124" s="3">
        <v>1.384</v>
      </c>
      <c r="AF124" s="5" t="s">
        <v>81</v>
      </c>
      <c r="AG124" s="14">
        <v>0.828</v>
      </c>
      <c r="AH124" s="14">
        <v>39</v>
      </c>
      <c r="AI124" s="14">
        <v>0.638</v>
      </c>
      <c r="AJ124" s="14">
        <v>0.645</v>
      </c>
      <c r="AK124" s="14">
        <v>47</v>
      </c>
      <c r="AL124" s="14">
        <v>0.372</v>
      </c>
      <c r="AM124" s="7"/>
      <c r="AN124" s="15"/>
      <c r="AO124" s="15"/>
      <c r="AP124" s="7"/>
      <c r="AQ124" s="7"/>
      <c r="AR124" s="7"/>
      <c r="AS124" s="7"/>
      <c r="AT124" s="7"/>
      <c r="AU124" s="7"/>
      <c r="AV124" s="7"/>
      <c r="AW124" s="7"/>
      <c r="AX124" s="7"/>
      <c r="AY124" s="7"/>
      <c r="AZ124" s="8"/>
      <c r="BA124" s="1" t="s">
        <v>777</v>
      </c>
      <c r="BB124" s="7"/>
      <c r="BC124" s="9" t="s">
        <v>82</v>
      </c>
      <c r="BD124" s="9" t="s">
        <v>82</v>
      </c>
      <c r="BE124" s="10" t="str">
        <f t="shared" si="5"/>
        <v>subtropic</v>
      </c>
      <c r="BF124" s="11"/>
    </row>
    <row r="125" ht="42.75" spans="1:58">
      <c r="A125">
        <v>146</v>
      </c>
      <c r="B125" t="s">
        <v>778</v>
      </c>
      <c r="C125" t="s">
        <v>781</v>
      </c>
      <c r="D125">
        <v>2015</v>
      </c>
      <c r="E125" s="12" t="s">
        <v>782</v>
      </c>
      <c r="F125" t="s">
        <v>356</v>
      </c>
      <c r="G125">
        <v>-37.75</v>
      </c>
      <c r="H125">
        <v>144.7</v>
      </c>
      <c r="I125">
        <v>7</v>
      </c>
      <c r="J125" t="s">
        <v>494</v>
      </c>
      <c r="K125" t="s">
        <v>182</v>
      </c>
      <c r="L125" t="s">
        <v>358</v>
      </c>
      <c r="M125" t="s">
        <v>783</v>
      </c>
      <c r="N125" t="s">
        <v>278</v>
      </c>
      <c r="O125" t="s">
        <v>340</v>
      </c>
      <c r="P125" t="s">
        <v>227</v>
      </c>
      <c r="Q125" t="s">
        <v>280</v>
      </c>
      <c r="R125" t="s">
        <v>75</v>
      </c>
      <c r="S125" s="1" t="s">
        <v>172</v>
      </c>
      <c r="T125" s="1" t="s">
        <v>172</v>
      </c>
      <c r="U125" s="1" t="s">
        <v>172</v>
      </c>
      <c r="V125" s="1" t="s">
        <v>173</v>
      </c>
      <c r="W125" s="13">
        <v>137</v>
      </c>
      <c r="X125" s="13" t="s">
        <v>174</v>
      </c>
      <c r="Y125" s="13" t="s">
        <v>94</v>
      </c>
      <c r="Z125" s="3">
        <v>6</v>
      </c>
      <c r="AA125" s="3">
        <v>6</v>
      </c>
      <c r="AB125" s="3">
        <v>1.21</v>
      </c>
      <c r="AC125" s="4">
        <v>3</v>
      </c>
      <c r="AD125" s="3">
        <v>6</v>
      </c>
      <c r="AE125" s="3">
        <v>0.864</v>
      </c>
      <c r="AF125" s="5"/>
      <c r="AG125" s="14"/>
      <c r="AH125" s="14"/>
      <c r="AI125" s="14"/>
      <c r="AJ125" s="14"/>
      <c r="AK125" s="14"/>
      <c r="AL125" s="14"/>
      <c r="AM125" s="7"/>
      <c r="AN125" s="15"/>
      <c r="AO125" s="15"/>
      <c r="AP125" s="7"/>
      <c r="AQ125" s="7"/>
      <c r="AR125" s="7"/>
      <c r="AS125" s="7"/>
      <c r="AT125" s="7"/>
      <c r="AU125" s="7"/>
      <c r="AV125" s="7"/>
      <c r="AW125" s="7"/>
      <c r="AX125" s="7"/>
      <c r="AY125" s="7"/>
      <c r="AZ125" s="8"/>
      <c r="BA125" s="1"/>
      <c r="BB125" s="7"/>
      <c r="BC125" s="9" t="s">
        <v>82</v>
      </c>
      <c r="BD125" s="9" t="s">
        <v>82</v>
      </c>
      <c r="BE125" s="10" t="str">
        <f t="shared" si="5"/>
        <v>subtropic</v>
      </c>
      <c r="BF125" s="11"/>
    </row>
    <row r="126" ht="42.75" spans="1:58">
      <c r="A126">
        <v>147</v>
      </c>
      <c r="B126" t="s">
        <v>778</v>
      </c>
      <c r="C126" t="s">
        <v>781</v>
      </c>
      <c r="D126">
        <v>2015</v>
      </c>
      <c r="E126" s="12" t="s">
        <v>782</v>
      </c>
      <c r="F126" t="s">
        <v>356</v>
      </c>
      <c r="G126">
        <v>-37.75</v>
      </c>
      <c r="H126">
        <v>144.7</v>
      </c>
      <c r="I126">
        <v>7</v>
      </c>
      <c r="J126" t="s">
        <v>494</v>
      </c>
      <c r="K126" t="s">
        <v>182</v>
      </c>
      <c r="L126" t="s">
        <v>358</v>
      </c>
      <c r="M126" t="s">
        <v>783</v>
      </c>
      <c r="N126" t="s">
        <v>278</v>
      </c>
      <c r="O126" t="s">
        <v>340</v>
      </c>
      <c r="P126" t="s">
        <v>227</v>
      </c>
      <c r="Q126" t="s">
        <v>280</v>
      </c>
      <c r="R126" t="s">
        <v>75</v>
      </c>
      <c r="S126" s="1" t="s">
        <v>172</v>
      </c>
      <c r="T126" s="1" t="s">
        <v>172</v>
      </c>
      <c r="U126" s="1" t="s">
        <v>172</v>
      </c>
      <c r="V126" s="1" t="s">
        <v>173</v>
      </c>
      <c r="W126" s="13">
        <v>137</v>
      </c>
      <c r="X126" s="13" t="s">
        <v>174</v>
      </c>
      <c r="Y126" s="13" t="s">
        <v>94</v>
      </c>
      <c r="Z126" s="3">
        <v>1.835</v>
      </c>
      <c r="AA126" s="3">
        <v>6</v>
      </c>
      <c r="AB126" s="3">
        <v>1.037</v>
      </c>
      <c r="AC126" s="4">
        <v>2.871</v>
      </c>
      <c r="AD126" s="3">
        <v>6</v>
      </c>
      <c r="AE126" s="3">
        <v>1.153</v>
      </c>
      <c r="AF126" s="5"/>
      <c r="AG126" s="14"/>
      <c r="AH126" s="14"/>
      <c r="AI126" s="14"/>
      <c r="AJ126" s="14"/>
      <c r="AK126" s="14"/>
      <c r="AL126" s="14"/>
      <c r="AM126" s="7"/>
      <c r="AN126" s="15"/>
      <c r="AO126" s="15"/>
      <c r="AP126" s="7"/>
      <c r="AQ126" s="7"/>
      <c r="AR126" s="7"/>
      <c r="AS126" s="7"/>
      <c r="AT126" s="7"/>
      <c r="AU126" s="7"/>
      <c r="AV126" s="7"/>
      <c r="AW126" s="7"/>
      <c r="AX126" s="7"/>
      <c r="AY126" s="7"/>
      <c r="AZ126" s="8"/>
      <c r="BA126" s="1"/>
      <c r="BB126" s="7"/>
      <c r="BC126" s="9" t="s">
        <v>82</v>
      </c>
      <c r="BD126" s="9" t="s">
        <v>82</v>
      </c>
      <c r="BE126" s="10" t="str">
        <f t="shared" si="5"/>
        <v>subtropic</v>
      </c>
      <c r="BF126" s="11"/>
    </row>
    <row r="127" ht="28.5" spans="1:58">
      <c r="A127">
        <v>148</v>
      </c>
      <c r="B127" t="s">
        <v>785</v>
      </c>
      <c r="C127" t="s">
        <v>788</v>
      </c>
      <c r="D127">
        <v>2015</v>
      </c>
      <c r="E127" s="12" t="s">
        <v>789</v>
      </c>
      <c r="F127" t="s">
        <v>530</v>
      </c>
      <c r="G127">
        <v>60.33</v>
      </c>
      <c r="H127">
        <v>24.83</v>
      </c>
      <c r="I127">
        <v>27</v>
      </c>
      <c r="J127" t="s">
        <v>790</v>
      </c>
      <c r="K127" t="s">
        <v>182</v>
      </c>
      <c r="L127" t="s">
        <v>183</v>
      </c>
      <c r="M127" t="s">
        <v>791</v>
      </c>
      <c r="N127" t="s">
        <v>267</v>
      </c>
      <c r="O127" t="s">
        <v>268</v>
      </c>
      <c r="P127" t="s">
        <v>269</v>
      </c>
      <c r="Q127" t="s">
        <v>74</v>
      </c>
      <c r="R127" t="s">
        <v>75</v>
      </c>
      <c r="S127" s="1" t="s">
        <v>792</v>
      </c>
      <c r="T127" s="1" t="s">
        <v>172</v>
      </c>
      <c r="U127" s="1" t="s">
        <v>324</v>
      </c>
      <c r="V127" s="1" t="s">
        <v>325</v>
      </c>
      <c r="W127" s="13">
        <v>100.6</v>
      </c>
      <c r="X127" s="13" t="s">
        <v>174</v>
      </c>
      <c r="Y127" s="13" t="s">
        <v>94</v>
      </c>
      <c r="Z127" s="3"/>
      <c r="AA127" s="3"/>
      <c r="AB127" s="3"/>
      <c r="AC127" s="4"/>
      <c r="AD127" s="3"/>
      <c r="AE127" s="3"/>
      <c r="AF127" s="5"/>
      <c r="AG127" s="14"/>
      <c r="AH127" s="14"/>
      <c r="AI127" s="14"/>
      <c r="AJ127" s="14"/>
      <c r="AK127" s="14"/>
      <c r="AL127" s="14"/>
      <c r="AM127" s="7">
        <v>25</v>
      </c>
      <c r="AN127" s="15" t="s">
        <v>459</v>
      </c>
      <c r="AO127" s="15" t="s">
        <v>460</v>
      </c>
      <c r="AP127" s="7" t="s">
        <v>122</v>
      </c>
      <c r="AQ127" s="7">
        <v>0.508881</v>
      </c>
      <c r="AR127" s="7">
        <v>10</v>
      </c>
      <c r="AS127" s="7">
        <v>0.194806</v>
      </c>
      <c r="AT127" s="7">
        <v>0.487795</v>
      </c>
      <c r="AU127" s="7">
        <v>45</v>
      </c>
      <c r="AV127" s="7">
        <v>0.194568</v>
      </c>
      <c r="AW127" s="7">
        <v>0.452493</v>
      </c>
      <c r="AX127" s="7">
        <v>50</v>
      </c>
      <c r="AY127" s="7">
        <v>0.219389</v>
      </c>
      <c r="AZ127" s="8"/>
      <c r="BA127" s="1"/>
      <c r="BB127" s="7"/>
      <c r="BC127" s="9" t="s">
        <v>82</v>
      </c>
      <c r="BD127" s="9" t="s">
        <v>82</v>
      </c>
      <c r="BE127" s="10" t="str">
        <f t="shared" si="5"/>
        <v>arctic</v>
      </c>
      <c r="BF127" s="11"/>
    </row>
    <row r="128" ht="42.75" spans="1:58">
      <c r="A128">
        <v>149</v>
      </c>
      <c r="B128" t="s">
        <v>785</v>
      </c>
      <c r="C128" t="s">
        <v>788</v>
      </c>
      <c r="D128">
        <v>2015</v>
      </c>
      <c r="E128" s="12" t="s">
        <v>789</v>
      </c>
      <c r="F128" t="s">
        <v>530</v>
      </c>
      <c r="G128">
        <v>60.33</v>
      </c>
      <c r="H128">
        <v>24.83</v>
      </c>
      <c r="I128">
        <v>27</v>
      </c>
      <c r="J128" t="s">
        <v>790</v>
      </c>
      <c r="K128" t="s">
        <v>182</v>
      </c>
      <c r="L128" t="s">
        <v>183</v>
      </c>
      <c r="M128" t="s">
        <v>791</v>
      </c>
      <c r="N128" t="s">
        <v>267</v>
      </c>
      <c r="O128" t="s">
        <v>268</v>
      </c>
      <c r="P128" t="s">
        <v>269</v>
      </c>
      <c r="Q128" t="s">
        <v>74</v>
      </c>
      <c r="R128" t="s">
        <v>75</v>
      </c>
      <c r="S128" s="1" t="s">
        <v>270</v>
      </c>
      <c r="T128" s="1" t="s">
        <v>172</v>
      </c>
      <c r="U128" s="1" t="s">
        <v>172</v>
      </c>
      <c r="V128" s="1" t="s">
        <v>173</v>
      </c>
      <c r="W128" s="13">
        <v>100.6</v>
      </c>
      <c r="X128" s="13" t="s">
        <v>174</v>
      </c>
      <c r="Y128" s="13" t="s">
        <v>94</v>
      </c>
      <c r="Z128" s="3"/>
      <c r="AA128" s="3"/>
      <c r="AB128" s="3"/>
      <c r="AC128" s="4"/>
      <c r="AD128" s="3"/>
      <c r="AE128" s="3"/>
      <c r="AF128" s="5"/>
      <c r="AG128" s="14"/>
      <c r="AH128" s="14"/>
      <c r="AI128" s="14"/>
      <c r="AJ128" s="14"/>
      <c r="AK128" s="14"/>
      <c r="AL128" s="14"/>
      <c r="AM128" s="7">
        <v>26</v>
      </c>
      <c r="AN128" s="15" t="s">
        <v>459</v>
      </c>
      <c r="AO128" s="15" t="s">
        <v>460</v>
      </c>
      <c r="AP128" s="7" t="s">
        <v>122</v>
      </c>
      <c r="AQ128" s="7">
        <v>0.350904</v>
      </c>
      <c r="AR128" s="7">
        <v>10</v>
      </c>
      <c r="AS128" s="7">
        <v>0.13847</v>
      </c>
      <c r="AT128" s="7">
        <v>0.41598</v>
      </c>
      <c r="AU128" s="7">
        <v>45</v>
      </c>
      <c r="AV128" s="7">
        <v>0.192401</v>
      </c>
      <c r="AW128" s="7">
        <v>0.380156</v>
      </c>
      <c r="AX128" s="7">
        <v>50</v>
      </c>
      <c r="AY128" s="7">
        <v>0.171216</v>
      </c>
      <c r="AZ128" s="8"/>
      <c r="BB128" s="7"/>
      <c r="BC128" s="9" t="s">
        <v>82</v>
      </c>
      <c r="BD128" s="9" t="s">
        <v>82</v>
      </c>
      <c r="BE128" s="10" t="str">
        <f t="shared" si="5"/>
        <v>arctic</v>
      </c>
      <c r="BF128" s="11"/>
    </row>
    <row r="129" ht="42.75" spans="1:58">
      <c r="A129">
        <v>150</v>
      </c>
      <c r="B129" t="s">
        <v>793</v>
      </c>
      <c r="C129" t="s">
        <v>796</v>
      </c>
      <c r="D129">
        <v>2015</v>
      </c>
      <c r="E129" s="12" t="s">
        <v>797</v>
      </c>
      <c r="F129" t="s">
        <v>611</v>
      </c>
      <c r="G129">
        <v>3.16</v>
      </c>
      <c r="H129">
        <v>101.76</v>
      </c>
      <c r="I129">
        <v>1</v>
      </c>
      <c r="J129" t="s">
        <v>512</v>
      </c>
      <c r="K129" t="s">
        <v>70</v>
      </c>
      <c r="L129" t="s">
        <v>71</v>
      </c>
      <c r="M129" t="s">
        <v>147</v>
      </c>
      <c r="N129" t="s">
        <v>72</v>
      </c>
      <c r="O129" t="s">
        <v>147</v>
      </c>
      <c r="P129" t="s">
        <v>148</v>
      </c>
      <c r="Q129" t="s">
        <v>74</v>
      </c>
      <c r="R129" t="s">
        <v>75</v>
      </c>
      <c r="S129" s="1" t="s">
        <v>172</v>
      </c>
      <c r="T129" s="1" t="s">
        <v>172</v>
      </c>
      <c r="U129" s="1" t="s">
        <v>172</v>
      </c>
      <c r="V129" s="1" t="s">
        <v>173</v>
      </c>
      <c r="W129" s="13">
        <v>1.4</v>
      </c>
      <c r="X129" s="13" t="s">
        <v>192</v>
      </c>
      <c r="Y129" s="13" t="s">
        <v>80</v>
      </c>
      <c r="Z129" s="3">
        <v>9.366</v>
      </c>
      <c r="AA129" s="3">
        <v>24</v>
      </c>
      <c r="AB129" s="3">
        <v>1.525</v>
      </c>
      <c r="AC129" s="4">
        <v>2.765</v>
      </c>
      <c r="AD129" s="3">
        <v>24</v>
      </c>
      <c r="AE129" s="3">
        <v>1.501</v>
      </c>
      <c r="AF129" s="5"/>
      <c r="AG129" s="14"/>
      <c r="AH129" s="14"/>
      <c r="AI129" s="14"/>
      <c r="AJ129" s="14"/>
      <c r="AK129" s="14"/>
      <c r="AL129" s="14"/>
      <c r="AM129" s="7">
        <v>27</v>
      </c>
      <c r="AN129" s="15" t="s">
        <v>798</v>
      </c>
      <c r="AO129" s="15" t="s">
        <v>305</v>
      </c>
      <c r="AP129" s="7" t="s">
        <v>122</v>
      </c>
      <c r="AQ129" s="7">
        <v>0.596021</v>
      </c>
      <c r="AR129" s="7">
        <v>10</v>
      </c>
      <c r="AS129" s="7">
        <v>0.288112</v>
      </c>
      <c r="AT129" s="7">
        <v>0.292028</v>
      </c>
      <c r="AU129" s="7">
        <v>6</v>
      </c>
      <c r="AV129" s="7">
        <v>0.179123</v>
      </c>
      <c r="AW129" s="7">
        <v>1.250271</v>
      </c>
      <c r="AX129" s="7">
        <v>20</v>
      </c>
      <c r="AY129" s="7">
        <v>0.192624</v>
      </c>
      <c r="AZ129" s="8"/>
      <c r="BA129" s="1"/>
      <c r="BB129" s="7"/>
      <c r="BC129" s="9" t="s">
        <v>297</v>
      </c>
      <c r="BD129" s="9" t="s">
        <v>126</v>
      </c>
      <c r="BE129" s="10" t="str">
        <f t="shared" si="5"/>
        <v>tropic</v>
      </c>
      <c r="BF129" s="11"/>
    </row>
    <row r="130" ht="28.5" spans="1:58">
      <c r="A130">
        <v>151</v>
      </c>
      <c r="B130" t="s">
        <v>799</v>
      </c>
      <c r="C130" t="s">
        <v>802</v>
      </c>
      <c r="D130">
        <v>2015</v>
      </c>
      <c r="E130" s="12" t="s">
        <v>803</v>
      </c>
      <c r="F130" t="s">
        <v>276</v>
      </c>
      <c r="G130">
        <v>43.025</v>
      </c>
      <c r="H130">
        <v>-87.9</v>
      </c>
      <c r="I130">
        <v>25</v>
      </c>
      <c r="J130" t="s">
        <v>216</v>
      </c>
      <c r="K130" t="s">
        <v>182</v>
      </c>
      <c r="L130" t="s">
        <v>183</v>
      </c>
      <c r="M130" t="s">
        <v>562</v>
      </c>
      <c r="N130" t="s">
        <v>113</v>
      </c>
      <c r="O130" t="s">
        <v>114</v>
      </c>
      <c r="P130" t="s">
        <v>563</v>
      </c>
      <c r="Q130" t="s">
        <v>74</v>
      </c>
      <c r="R130" t="s">
        <v>90</v>
      </c>
      <c r="S130" s="1" t="s">
        <v>92</v>
      </c>
      <c r="T130" s="1" t="s">
        <v>92</v>
      </c>
      <c r="U130" s="1" t="s">
        <v>92</v>
      </c>
      <c r="V130" s="1" t="s">
        <v>92</v>
      </c>
      <c r="W130" s="13">
        <v>19.6</v>
      </c>
      <c r="X130" s="13" t="s">
        <v>79</v>
      </c>
      <c r="Y130" s="13" t="s">
        <v>80</v>
      </c>
      <c r="Z130" s="3">
        <v>185</v>
      </c>
      <c r="AA130" s="3">
        <v>14</v>
      </c>
      <c r="AB130" s="3">
        <v>25</v>
      </c>
      <c r="AC130" s="4">
        <v>432</v>
      </c>
      <c r="AD130" s="3">
        <v>24</v>
      </c>
      <c r="AE130" s="3">
        <v>104</v>
      </c>
      <c r="AF130" s="5"/>
      <c r="AG130" s="14"/>
      <c r="AH130" s="14"/>
      <c r="AI130" s="14"/>
      <c r="AJ130" s="14"/>
      <c r="AK130" s="14"/>
      <c r="AL130" s="14"/>
      <c r="AM130" s="7">
        <v>28</v>
      </c>
      <c r="AN130" s="15" t="s">
        <v>804</v>
      </c>
      <c r="AO130" s="15" t="s">
        <v>805</v>
      </c>
      <c r="AP130" s="7" t="s">
        <v>122</v>
      </c>
      <c r="AQ130" s="7">
        <v>0.245997</v>
      </c>
      <c r="AR130" s="7">
        <v>276</v>
      </c>
      <c r="AS130" s="7">
        <v>0.127367</v>
      </c>
      <c r="AT130" s="7">
        <v>0.127468</v>
      </c>
      <c r="AU130" s="7">
        <v>91</v>
      </c>
      <c r="AV130" s="7">
        <v>0.058569</v>
      </c>
      <c r="AW130" s="7">
        <v>0.461893</v>
      </c>
      <c r="AX130" s="7">
        <v>336</v>
      </c>
      <c r="AY130" s="7">
        <v>0.123594</v>
      </c>
      <c r="AZ130" s="8"/>
      <c r="BA130" s="1"/>
      <c r="BB130" s="7"/>
      <c r="BC130" s="9" t="s">
        <v>82</v>
      </c>
      <c r="BD130" s="9" t="s">
        <v>82</v>
      </c>
      <c r="BE130" s="10" t="str">
        <f t="shared" si="5"/>
        <v>temperate</v>
      </c>
      <c r="BF130" s="11"/>
    </row>
    <row r="131" ht="42.75" spans="1:58">
      <c r="A131">
        <v>152</v>
      </c>
      <c r="B131" t="s">
        <v>806</v>
      </c>
      <c r="C131" t="s">
        <v>809</v>
      </c>
      <c r="D131">
        <v>2015</v>
      </c>
      <c r="E131" s="12" t="s">
        <v>810</v>
      </c>
      <c r="F131" t="s">
        <v>356</v>
      </c>
      <c r="G131" s="1">
        <v>-34</v>
      </c>
      <c r="H131" s="1">
        <v>151</v>
      </c>
      <c r="I131">
        <v>14</v>
      </c>
      <c r="J131" t="s">
        <v>89</v>
      </c>
      <c r="K131" s="1" t="s">
        <v>182</v>
      </c>
      <c r="L131" t="s">
        <v>358</v>
      </c>
      <c r="M131" t="s">
        <v>562</v>
      </c>
      <c r="N131" t="s">
        <v>113</v>
      </c>
      <c r="O131" t="s">
        <v>114</v>
      </c>
      <c r="P131" t="s">
        <v>563</v>
      </c>
      <c r="Q131" t="s">
        <v>116</v>
      </c>
      <c r="R131" t="s">
        <v>75</v>
      </c>
      <c r="S131" s="1" t="s">
        <v>811</v>
      </c>
      <c r="T131" s="1" t="s">
        <v>172</v>
      </c>
      <c r="U131" s="1" t="s">
        <v>286</v>
      </c>
      <c r="V131" s="1" t="s">
        <v>287</v>
      </c>
      <c r="W131" s="13">
        <v>213</v>
      </c>
      <c r="X131" s="13" t="s">
        <v>93</v>
      </c>
      <c r="Y131" s="13" t="s">
        <v>94</v>
      </c>
      <c r="Z131" s="3">
        <v>9.851</v>
      </c>
      <c r="AA131" s="3">
        <v>42</v>
      </c>
      <c r="AB131" s="3">
        <v>2.454</v>
      </c>
      <c r="AC131" s="4">
        <v>8.681</v>
      </c>
      <c r="AD131" s="3">
        <v>42</v>
      </c>
      <c r="AE131" s="3">
        <v>3.25</v>
      </c>
      <c r="AF131" s="5"/>
      <c r="AG131" s="14"/>
      <c r="AH131" s="14"/>
      <c r="AI131" s="14"/>
      <c r="AJ131" s="14"/>
      <c r="AK131" s="14"/>
      <c r="AL131" s="14"/>
      <c r="AM131" s="7">
        <v>29</v>
      </c>
      <c r="AN131" s="15" t="s">
        <v>812</v>
      </c>
      <c r="AO131" s="15" t="s">
        <v>813</v>
      </c>
      <c r="AP131" s="7" t="s">
        <v>122</v>
      </c>
      <c r="AQ131" s="7">
        <v>0.628271</v>
      </c>
      <c r="AR131" s="7">
        <v>1485</v>
      </c>
      <c r="AS131" s="7">
        <v>0.357098</v>
      </c>
      <c r="AT131" s="7">
        <v>0.681146</v>
      </c>
      <c r="AU131" s="7">
        <v>1485</v>
      </c>
      <c r="AV131" s="7">
        <v>0.328076</v>
      </c>
      <c r="AW131" s="7">
        <v>0.799879</v>
      </c>
      <c r="AX131" s="7">
        <v>3025</v>
      </c>
      <c r="AY131" s="7">
        <v>0.355177</v>
      </c>
      <c r="AZ131" s="8"/>
      <c r="BA131" s="1"/>
      <c r="BB131" s="7"/>
      <c r="BC131" s="9" t="s">
        <v>361</v>
      </c>
      <c r="BD131" s="9" t="s">
        <v>126</v>
      </c>
      <c r="BE131" s="10" t="str">
        <f t="shared" si="5"/>
        <v>subtropic</v>
      </c>
      <c r="BF131" s="11"/>
    </row>
    <row r="132" ht="28.5" spans="1:58">
      <c r="A132">
        <v>153</v>
      </c>
      <c r="B132" t="s">
        <v>814</v>
      </c>
      <c r="C132" t="s">
        <v>817</v>
      </c>
      <c r="D132">
        <v>2015</v>
      </c>
      <c r="E132" s="12" t="s">
        <v>818</v>
      </c>
      <c r="F132" t="s">
        <v>276</v>
      </c>
      <c r="G132">
        <v>39.5</v>
      </c>
      <c r="H132">
        <v>-83</v>
      </c>
      <c r="I132">
        <v>25</v>
      </c>
      <c r="J132" t="s">
        <v>216</v>
      </c>
      <c r="K132" t="s">
        <v>182</v>
      </c>
      <c r="L132" t="s">
        <v>183</v>
      </c>
      <c r="M132" t="s">
        <v>359</v>
      </c>
      <c r="N132" t="s">
        <v>267</v>
      </c>
      <c r="O132" t="s">
        <v>268</v>
      </c>
      <c r="P132" t="s">
        <v>360</v>
      </c>
      <c r="Q132" t="s">
        <v>74</v>
      </c>
      <c r="R132" t="s">
        <v>75</v>
      </c>
      <c r="S132" s="1" t="s">
        <v>819</v>
      </c>
      <c r="T132" s="1" t="s">
        <v>172</v>
      </c>
      <c r="U132" s="1" t="s">
        <v>324</v>
      </c>
      <c r="V132" s="1" t="s">
        <v>325</v>
      </c>
      <c r="W132" s="13">
        <v>85</v>
      </c>
      <c r="X132" s="13" t="s">
        <v>119</v>
      </c>
      <c r="Y132" s="13" t="s">
        <v>80</v>
      </c>
      <c r="Z132" s="3">
        <v>2</v>
      </c>
      <c r="AA132" s="3">
        <v>2</v>
      </c>
      <c r="AB132" s="3">
        <v>1.414</v>
      </c>
      <c r="AC132" s="4">
        <v>2.04</v>
      </c>
      <c r="AD132" s="3">
        <v>25</v>
      </c>
      <c r="AE132" s="3">
        <v>0.338</v>
      </c>
      <c r="AF132" s="5" t="s">
        <v>81</v>
      </c>
      <c r="AG132" s="14">
        <v>0.3</v>
      </c>
      <c r="AH132" s="14">
        <v>2</v>
      </c>
      <c r="AI132" s="14">
        <v>0.424</v>
      </c>
      <c r="AJ132" s="14">
        <v>0.497</v>
      </c>
      <c r="AK132" s="14">
        <v>25</v>
      </c>
      <c r="AL132" s="14">
        <v>0.401</v>
      </c>
      <c r="AM132" s="7"/>
      <c r="AN132" s="15"/>
      <c r="AO132" s="15"/>
      <c r="AP132" s="7"/>
      <c r="AQ132" s="7"/>
      <c r="AR132" s="7"/>
      <c r="AS132" s="7"/>
      <c r="AT132" s="7"/>
      <c r="AU132" s="7"/>
      <c r="AV132" s="7"/>
      <c r="AW132" s="7"/>
      <c r="AX132" s="7"/>
      <c r="AY132" s="7"/>
      <c r="AZ132" s="8"/>
      <c r="BA132" s="1"/>
      <c r="BB132" s="7"/>
      <c r="BC132" s="9" t="s">
        <v>82</v>
      </c>
      <c r="BD132" s="9" t="s">
        <v>82</v>
      </c>
      <c r="BE132" s="10" t="str">
        <f t="shared" si="5"/>
        <v>subtropic</v>
      </c>
      <c r="BF132" s="11"/>
    </row>
    <row r="133" ht="28.5" spans="1:58">
      <c r="A133">
        <v>154</v>
      </c>
      <c r="B133" t="s">
        <v>820</v>
      </c>
      <c r="C133" t="s">
        <v>823</v>
      </c>
      <c r="D133">
        <v>2015</v>
      </c>
      <c r="E133" s="12" t="s">
        <v>824</v>
      </c>
      <c r="F133" t="s">
        <v>145</v>
      </c>
      <c r="G133">
        <v>-23.3833</v>
      </c>
      <c r="H133">
        <v>-52</v>
      </c>
      <c r="I133">
        <v>14</v>
      </c>
      <c r="J133" t="s">
        <v>89</v>
      </c>
      <c r="K133" t="s">
        <v>70</v>
      </c>
      <c r="L133" t="s">
        <v>146</v>
      </c>
      <c r="M133" t="s">
        <v>147</v>
      </c>
      <c r="N133" t="s">
        <v>72</v>
      </c>
      <c r="O133" t="s">
        <v>147</v>
      </c>
      <c r="P133" t="s">
        <v>148</v>
      </c>
      <c r="Q133" t="s">
        <v>74</v>
      </c>
      <c r="R133" t="s">
        <v>75</v>
      </c>
      <c r="S133" s="1" t="s">
        <v>423</v>
      </c>
      <c r="T133" s="1" t="s">
        <v>172</v>
      </c>
      <c r="U133" s="1" t="s">
        <v>324</v>
      </c>
      <c r="V133" s="1" t="s">
        <v>325</v>
      </c>
      <c r="W133" s="13">
        <v>6.7</v>
      </c>
      <c r="X133" s="13" t="s">
        <v>192</v>
      </c>
      <c r="Y133" s="13" t="s">
        <v>80</v>
      </c>
      <c r="Z133" s="3">
        <v>7.417</v>
      </c>
      <c r="AA133" s="3">
        <v>18</v>
      </c>
      <c r="AB133" s="3">
        <v>5.064</v>
      </c>
      <c r="AC133" s="3">
        <v>9.462</v>
      </c>
      <c r="AD133" s="3">
        <v>18</v>
      </c>
      <c r="AE133" s="3">
        <v>7.527</v>
      </c>
      <c r="AF133" s="5" t="s">
        <v>81</v>
      </c>
      <c r="AG133" s="14">
        <v>1.579</v>
      </c>
      <c r="AH133" s="14">
        <v>18</v>
      </c>
      <c r="AI133" s="14">
        <v>0.857</v>
      </c>
      <c r="AJ133" s="14">
        <v>1.526</v>
      </c>
      <c r="AK133" s="14">
        <v>18</v>
      </c>
      <c r="AL133" s="14">
        <v>0.694</v>
      </c>
      <c r="AM133" s="7"/>
      <c r="AN133" s="15"/>
      <c r="AO133" s="15"/>
      <c r="AP133" s="7"/>
      <c r="AQ133" s="7"/>
      <c r="AR133" s="7"/>
      <c r="AS133" s="7"/>
      <c r="AT133" s="7"/>
      <c r="AU133" s="7"/>
      <c r="AV133" s="7"/>
      <c r="AW133" s="7"/>
      <c r="AX133" s="7"/>
      <c r="AY133" s="7"/>
      <c r="AZ133" s="8"/>
      <c r="BA133" s="1"/>
      <c r="BB133" s="7"/>
      <c r="BC133" s="9" t="s">
        <v>153</v>
      </c>
      <c r="BD133" s="9" t="s">
        <v>126</v>
      </c>
      <c r="BE133" s="10" t="str">
        <f t="shared" si="5"/>
        <v>tropic</v>
      </c>
      <c r="BF133" s="11"/>
    </row>
    <row r="134" ht="28.5" spans="1:58">
      <c r="A134">
        <v>155</v>
      </c>
      <c r="B134" t="s">
        <v>825</v>
      </c>
      <c r="C134" t="s">
        <v>828</v>
      </c>
      <c r="D134">
        <v>2014</v>
      </c>
      <c r="E134" s="12" t="s">
        <v>829</v>
      </c>
      <c r="F134" t="s">
        <v>145</v>
      </c>
      <c r="G134">
        <v>-23.9167</v>
      </c>
      <c r="H134">
        <v>-47.8333</v>
      </c>
      <c r="I134">
        <v>15</v>
      </c>
      <c r="J134" t="s">
        <v>357</v>
      </c>
      <c r="K134" t="s">
        <v>70</v>
      </c>
      <c r="L134" t="s">
        <v>146</v>
      </c>
      <c r="M134" t="s">
        <v>147</v>
      </c>
      <c r="N134" t="s">
        <v>72</v>
      </c>
      <c r="O134" t="s">
        <v>147</v>
      </c>
      <c r="P134" t="s">
        <v>148</v>
      </c>
      <c r="Q134" t="s">
        <v>74</v>
      </c>
      <c r="R134" t="s">
        <v>75</v>
      </c>
      <c r="S134" s="1" t="s">
        <v>117</v>
      </c>
      <c r="T134" s="1" t="s">
        <v>117</v>
      </c>
      <c r="U134" s="1" t="s">
        <v>117</v>
      </c>
      <c r="V134" s="1" t="s">
        <v>118</v>
      </c>
      <c r="W134" s="13">
        <v>43</v>
      </c>
      <c r="X134" s="13" t="s">
        <v>79</v>
      </c>
      <c r="Y134" s="13" t="s">
        <v>80</v>
      </c>
      <c r="Z134" s="3"/>
      <c r="AA134" s="3"/>
      <c r="AB134" s="3"/>
      <c r="AC134" s="4"/>
      <c r="AD134" s="3"/>
      <c r="AE134" s="3"/>
      <c r="AF134" s="5"/>
      <c r="AG134" s="14"/>
      <c r="AH134" s="14"/>
      <c r="AI134" s="14"/>
      <c r="AJ134" s="14"/>
      <c r="AK134" s="14"/>
      <c r="AL134" s="14"/>
      <c r="AM134" s="7">
        <v>30</v>
      </c>
      <c r="AN134" s="15" t="s">
        <v>830</v>
      </c>
      <c r="AO134" s="15" t="s">
        <v>831</v>
      </c>
      <c r="AP134" s="7" t="s">
        <v>122</v>
      </c>
      <c r="AQ134" s="7">
        <v>0.849174</v>
      </c>
      <c r="AR134" s="7">
        <v>6</v>
      </c>
      <c r="AS134" s="7">
        <v>0.281758</v>
      </c>
      <c r="AT134" s="7">
        <v>0.659003</v>
      </c>
      <c r="AU134" s="7">
        <v>10</v>
      </c>
      <c r="AV134" s="7">
        <v>0.37528</v>
      </c>
      <c r="AW134" s="7">
        <v>1.01733</v>
      </c>
      <c r="AX134" s="7">
        <v>20</v>
      </c>
      <c r="AY134" s="7">
        <v>0.466028</v>
      </c>
      <c r="AZ134" s="8"/>
      <c r="BA134" s="1"/>
      <c r="BB134" s="7"/>
      <c r="BC134" s="9" t="s">
        <v>153</v>
      </c>
      <c r="BD134" s="9" t="s">
        <v>126</v>
      </c>
      <c r="BE134" s="10" t="str">
        <f t="shared" si="5"/>
        <v>subtropic</v>
      </c>
      <c r="BF134" s="11"/>
    </row>
    <row r="135" ht="42.75" spans="1:58">
      <c r="A135">
        <v>156</v>
      </c>
      <c r="B135" t="s">
        <v>832</v>
      </c>
      <c r="C135" t="s">
        <v>835</v>
      </c>
      <c r="D135">
        <v>2014</v>
      </c>
      <c r="E135" s="12" t="s">
        <v>836</v>
      </c>
      <c r="F135" t="s">
        <v>476</v>
      </c>
      <c r="G135">
        <v>52.7721</v>
      </c>
      <c r="H135">
        <v>-1.2062</v>
      </c>
      <c r="I135">
        <v>15</v>
      </c>
      <c r="J135" t="s">
        <v>357</v>
      </c>
      <c r="K135" t="s">
        <v>182</v>
      </c>
      <c r="L135" t="s">
        <v>183</v>
      </c>
      <c r="M135" t="s">
        <v>277</v>
      </c>
      <c r="N135" t="s">
        <v>278</v>
      </c>
      <c r="O135" t="s">
        <v>277</v>
      </c>
      <c r="P135" t="s">
        <v>279</v>
      </c>
      <c r="Q135" t="s">
        <v>280</v>
      </c>
      <c r="R135" t="s">
        <v>75</v>
      </c>
      <c r="S135" s="1" t="s">
        <v>172</v>
      </c>
      <c r="T135" s="1" t="s">
        <v>172</v>
      </c>
      <c r="U135" s="1" t="s">
        <v>172</v>
      </c>
      <c r="V135" s="1" t="s">
        <v>173</v>
      </c>
      <c r="W135" s="13">
        <v>9.4</v>
      </c>
      <c r="X135" s="13" t="s">
        <v>192</v>
      </c>
      <c r="Y135" s="13" t="s">
        <v>80</v>
      </c>
      <c r="Z135" s="3">
        <v>16.667</v>
      </c>
      <c r="AA135" s="3">
        <v>3</v>
      </c>
      <c r="AB135" s="3">
        <v>5.715</v>
      </c>
      <c r="AC135" s="4">
        <v>6.5</v>
      </c>
      <c r="AD135" s="3">
        <v>10</v>
      </c>
      <c r="AE135" s="3">
        <v>3.028</v>
      </c>
      <c r="AF135" s="5" t="s">
        <v>81</v>
      </c>
      <c r="AG135" s="14">
        <v>0.927</v>
      </c>
      <c r="AH135" s="14">
        <v>3</v>
      </c>
      <c r="AI135" s="14">
        <v>0.234</v>
      </c>
      <c r="AJ135" s="14">
        <v>0.877</v>
      </c>
      <c r="AK135" s="14">
        <v>10</v>
      </c>
      <c r="AL135" s="14">
        <v>0.338</v>
      </c>
      <c r="AM135" s="7"/>
      <c r="AN135" s="15"/>
      <c r="AO135" s="15"/>
      <c r="AP135" s="7"/>
      <c r="AQ135" s="7"/>
      <c r="AR135" s="7"/>
      <c r="AS135" s="7"/>
      <c r="AT135" s="7"/>
      <c r="AU135" s="7"/>
      <c r="AV135" s="7"/>
      <c r="AW135" s="7"/>
      <c r="AX135" s="7"/>
      <c r="AY135" s="7"/>
      <c r="AZ135" s="8"/>
      <c r="BA135" s="1"/>
      <c r="BB135" s="7"/>
      <c r="BC135" s="9" t="s">
        <v>82</v>
      </c>
      <c r="BD135" s="9" t="s">
        <v>82</v>
      </c>
      <c r="BE135" s="10" t="str">
        <f t="shared" si="5"/>
        <v>temperate</v>
      </c>
      <c r="BF135" s="11"/>
    </row>
    <row r="136" ht="42.75" spans="1:58">
      <c r="A136">
        <v>157</v>
      </c>
      <c r="B136" t="s">
        <v>837</v>
      </c>
      <c r="C136" t="s">
        <v>840</v>
      </c>
      <c r="D136">
        <v>2013</v>
      </c>
      <c r="E136" s="12" t="s">
        <v>841</v>
      </c>
      <c r="F136" t="s">
        <v>276</v>
      </c>
      <c r="G136">
        <v>40.019</v>
      </c>
      <c r="H136">
        <v>-105.2747</v>
      </c>
      <c r="I136">
        <v>7</v>
      </c>
      <c r="J136" t="s">
        <v>494</v>
      </c>
      <c r="K136" t="s">
        <v>182</v>
      </c>
      <c r="L136" t="s">
        <v>183</v>
      </c>
      <c r="M136" t="s">
        <v>842</v>
      </c>
      <c r="N136" t="s">
        <v>227</v>
      </c>
      <c r="O136" t="s">
        <v>340</v>
      </c>
      <c r="P136" t="s">
        <v>495</v>
      </c>
      <c r="Q136" t="s">
        <v>74</v>
      </c>
      <c r="R136" t="s">
        <v>75</v>
      </c>
      <c r="S136" s="1" t="s">
        <v>172</v>
      </c>
      <c r="T136" s="1" t="s">
        <v>172</v>
      </c>
      <c r="U136" s="1" t="s">
        <v>286</v>
      </c>
      <c r="V136" s="1" t="s">
        <v>287</v>
      </c>
      <c r="W136" s="13">
        <v>182</v>
      </c>
      <c r="X136" s="13" t="s">
        <v>174</v>
      </c>
      <c r="Y136" s="13" t="s">
        <v>94</v>
      </c>
      <c r="Z136" s="3">
        <v>6.489</v>
      </c>
      <c r="AA136" s="3">
        <v>70</v>
      </c>
      <c r="AB136" s="3">
        <v>2.836</v>
      </c>
      <c r="AC136" s="4">
        <v>4.54</v>
      </c>
      <c r="AD136" s="3">
        <v>70</v>
      </c>
      <c r="AE136" s="3">
        <v>2.735</v>
      </c>
      <c r="AF136" s="5"/>
      <c r="AG136" s="14"/>
      <c r="AH136" s="14"/>
      <c r="AI136" s="14"/>
      <c r="AJ136" s="14"/>
      <c r="AK136" s="14"/>
      <c r="AL136" s="14"/>
      <c r="AM136" s="7"/>
      <c r="AN136" s="15"/>
      <c r="AO136" s="15"/>
      <c r="AP136" s="7"/>
      <c r="AQ136" s="7"/>
      <c r="AR136" s="7"/>
      <c r="AS136" s="7"/>
      <c r="AT136" s="7"/>
      <c r="AU136" s="7"/>
      <c r="AV136" s="7"/>
      <c r="AW136" s="7"/>
      <c r="AX136" s="7"/>
      <c r="AY136" s="7"/>
      <c r="AZ136" s="8"/>
      <c r="BA136" s="1"/>
      <c r="BB136" s="7"/>
      <c r="BC136" s="9" t="s">
        <v>82</v>
      </c>
      <c r="BD136" s="9" t="s">
        <v>82</v>
      </c>
      <c r="BE136" s="10" t="str">
        <f t="shared" si="5"/>
        <v>temperate</v>
      </c>
      <c r="BF136" s="11"/>
    </row>
    <row r="137" ht="42.75" spans="1:58">
      <c r="A137">
        <v>158</v>
      </c>
      <c r="B137" t="s">
        <v>837</v>
      </c>
      <c r="C137" t="s">
        <v>840</v>
      </c>
      <c r="D137">
        <v>2013</v>
      </c>
      <c r="E137" s="12" t="s">
        <v>841</v>
      </c>
      <c r="F137" t="s">
        <v>276</v>
      </c>
      <c r="G137">
        <v>40.019</v>
      </c>
      <c r="H137">
        <v>-105.2747</v>
      </c>
      <c r="I137">
        <v>7</v>
      </c>
      <c r="J137" t="s">
        <v>494</v>
      </c>
      <c r="K137" t="s">
        <v>182</v>
      </c>
      <c r="L137" t="s">
        <v>183</v>
      </c>
      <c r="M137" t="s">
        <v>842</v>
      </c>
      <c r="N137" t="s">
        <v>227</v>
      </c>
      <c r="O137" t="s">
        <v>340</v>
      </c>
      <c r="P137" t="s">
        <v>495</v>
      </c>
      <c r="Q137" t="s">
        <v>74</v>
      </c>
      <c r="R137" t="s">
        <v>75</v>
      </c>
      <c r="S137" s="1" t="s">
        <v>284</v>
      </c>
      <c r="T137" s="1" t="s">
        <v>284</v>
      </c>
      <c r="U137" s="1" t="s">
        <v>281</v>
      </c>
      <c r="V137" s="1" t="s">
        <v>390</v>
      </c>
      <c r="W137" s="13">
        <v>182</v>
      </c>
      <c r="X137" s="13" t="s">
        <v>174</v>
      </c>
      <c r="Y137" s="13" t="s">
        <v>94</v>
      </c>
      <c r="Z137" s="3">
        <v>1.853</v>
      </c>
      <c r="AA137" s="3">
        <v>70</v>
      </c>
      <c r="AB137" s="3">
        <v>1.389</v>
      </c>
      <c r="AC137" s="4">
        <v>0.629</v>
      </c>
      <c r="AD137" s="3">
        <v>70</v>
      </c>
      <c r="AE137" s="3">
        <v>1.012</v>
      </c>
      <c r="AF137" s="5"/>
      <c r="AG137" s="14"/>
      <c r="AH137" s="14"/>
      <c r="AI137" s="14"/>
      <c r="AJ137" s="14"/>
      <c r="AK137" s="14"/>
      <c r="AL137" s="14"/>
      <c r="AM137" s="7"/>
      <c r="AN137" s="15"/>
      <c r="AO137" s="15"/>
      <c r="AP137" s="7"/>
      <c r="AQ137" s="7"/>
      <c r="AR137" s="7"/>
      <c r="AS137" s="7"/>
      <c r="AT137" s="7"/>
      <c r="AU137" s="7"/>
      <c r="AV137" s="7"/>
      <c r="AW137" s="7"/>
      <c r="AX137" s="7"/>
      <c r="AY137" s="7"/>
      <c r="AZ137" s="8"/>
      <c r="BA137" s="1"/>
      <c r="BB137" s="7"/>
      <c r="BC137" s="9" t="s">
        <v>82</v>
      </c>
      <c r="BD137" s="9" t="s">
        <v>82</v>
      </c>
      <c r="BE137" s="10" t="str">
        <f t="shared" si="5"/>
        <v>temperate</v>
      </c>
      <c r="BF137" s="11"/>
    </row>
    <row r="138" ht="28.5" spans="1:58">
      <c r="A138">
        <v>159</v>
      </c>
      <c r="B138" t="s">
        <v>843</v>
      </c>
      <c r="C138" t="s">
        <v>846</v>
      </c>
      <c r="D138">
        <v>2013</v>
      </c>
      <c r="E138" s="12" t="s">
        <v>847</v>
      </c>
      <c r="F138" t="s">
        <v>145</v>
      </c>
      <c r="G138">
        <v>-23.7403</v>
      </c>
      <c r="H138">
        <v>-46.3667</v>
      </c>
      <c r="I138">
        <v>15</v>
      </c>
      <c r="J138" t="s">
        <v>357</v>
      </c>
      <c r="K138" t="s">
        <v>70</v>
      </c>
      <c r="L138" t="s">
        <v>146</v>
      </c>
      <c r="M138" t="s">
        <v>72</v>
      </c>
      <c r="N138" t="s">
        <v>72</v>
      </c>
      <c r="O138" t="s">
        <v>72</v>
      </c>
      <c r="P138" t="s">
        <v>73</v>
      </c>
      <c r="Q138" t="s">
        <v>74</v>
      </c>
      <c r="R138" t="s">
        <v>75</v>
      </c>
      <c r="S138" s="1" t="s">
        <v>117</v>
      </c>
      <c r="T138" s="1" t="s">
        <v>117</v>
      </c>
      <c r="U138" s="1" t="s">
        <v>117</v>
      </c>
      <c r="V138" s="1" t="s">
        <v>118</v>
      </c>
      <c r="W138" s="13">
        <v>8.2</v>
      </c>
      <c r="X138" s="13" t="s">
        <v>192</v>
      </c>
      <c r="Y138" s="13" t="s">
        <v>80</v>
      </c>
      <c r="Z138" s="3">
        <v>8</v>
      </c>
      <c r="AA138" s="3">
        <v>2</v>
      </c>
      <c r="AB138" s="3">
        <v>2</v>
      </c>
      <c r="AC138" s="4">
        <v>12.5</v>
      </c>
      <c r="AD138" s="3">
        <v>2</v>
      </c>
      <c r="AE138" s="3">
        <v>0.5</v>
      </c>
      <c r="AF138" s="5" t="s">
        <v>81</v>
      </c>
      <c r="AG138" s="14">
        <v>0.72</v>
      </c>
      <c r="AH138" s="14">
        <v>2</v>
      </c>
      <c r="AI138" s="14">
        <v>0.08</v>
      </c>
      <c r="AJ138" s="14">
        <v>0.81</v>
      </c>
      <c r="AK138" s="14">
        <v>2</v>
      </c>
      <c r="AL138" s="14">
        <v>0.01</v>
      </c>
      <c r="AM138" s="7"/>
      <c r="AN138" s="15"/>
      <c r="AO138" s="15"/>
      <c r="AP138" s="7"/>
      <c r="AQ138" s="7"/>
      <c r="AR138" s="7"/>
      <c r="AS138" s="7"/>
      <c r="AT138" s="7"/>
      <c r="AU138" s="7"/>
      <c r="AV138" s="7"/>
      <c r="AW138" s="7"/>
      <c r="AX138" s="7"/>
      <c r="AY138" s="7"/>
      <c r="AZ138" s="8" t="s">
        <v>848</v>
      </c>
      <c r="BA138" s="1"/>
      <c r="BB138" s="7"/>
      <c r="BC138" s="9" t="s">
        <v>153</v>
      </c>
      <c r="BD138" s="9" t="s">
        <v>126</v>
      </c>
      <c r="BE138" s="10" t="str">
        <f t="shared" si="5"/>
        <v>subtropic</v>
      </c>
      <c r="BF138" s="11"/>
    </row>
    <row r="139" ht="28.5" spans="1:58">
      <c r="A139">
        <v>161</v>
      </c>
      <c r="B139" t="s">
        <v>849</v>
      </c>
      <c r="C139" t="s">
        <v>852</v>
      </c>
      <c r="D139">
        <v>2012</v>
      </c>
      <c r="E139" s="12" t="s">
        <v>853</v>
      </c>
      <c r="F139" t="s">
        <v>145</v>
      </c>
      <c r="G139">
        <v>-24.7227</v>
      </c>
      <c r="H139">
        <v>-53.7408</v>
      </c>
      <c r="I139">
        <v>14</v>
      </c>
      <c r="J139" t="s">
        <v>89</v>
      </c>
      <c r="K139" t="s">
        <v>70</v>
      </c>
      <c r="L139" t="s">
        <v>146</v>
      </c>
      <c r="M139" t="s">
        <v>147</v>
      </c>
      <c r="N139" t="s">
        <v>72</v>
      </c>
      <c r="O139" t="s">
        <v>147</v>
      </c>
      <c r="P139" t="s">
        <v>148</v>
      </c>
      <c r="Q139" t="s">
        <v>74</v>
      </c>
      <c r="R139" t="s">
        <v>75</v>
      </c>
      <c r="S139" s="1" t="s">
        <v>117</v>
      </c>
      <c r="T139" s="1" t="s">
        <v>117</v>
      </c>
      <c r="U139" s="1" t="s">
        <v>117</v>
      </c>
      <c r="V139" s="1" t="s">
        <v>118</v>
      </c>
      <c r="W139" s="13">
        <v>2.52</v>
      </c>
      <c r="X139" s="13" t="s">
        <v>192</v>
      </c>
      <c r="Y139" s="13" t="s">
        <v>80</v>
      </c>
      <c r="Z139" s="3"/>
      <c r="AA139" s="3"/>
      <c r="AB139" s="3"/>
      <c r="AC139" s="4"/>
      <c r="AD139" s="3"/>
      <c r="AE139" s="3"/>
      <c r="AF139" s="5"/>
      <c r="AG139" s="14"/>
      <c r="AH139" s="14"/>
      <c r="AI139" s="14"/>
      <c r="AJ139" s="14"/>
      <c r="AK139" s="14"/>
      <c r="AL139" s="14"/>
      <c r="AM139" s="7">
        <v>31</v>
      </c>
      <c r="AN139" s="15" t="s">
        <v>854</v>
      </c>
      <c r="AO139" s="15" t="s">
        <v>855</v>
      </c>
      <c r="AP139" s="7" t="s">
        <v>122</v>
      </c>
      <c r="AQ139" s="7">
        <v>0.826133</v>
      </c>
      <c r="AR139" s="7">
        <v>190</v>
      </c>
      <c r="AS139" s="7">
        <v>0.450278</v>
      </c>
      <c r="AT139" s="7">
        <v>0.549959</v>
      </c>
      <c r="AU139" s="7">
        <v>78</v>
      </c>
      <c r="AV139" s="7">
        <v>0.310266</v>
      </c>
      <c r="AW139" s="7">
        <v>1.245427</v>
      </c>
      <c r="AX139" s="7">
        <v>260</v>
      </c>
      <c r="AY139" s="7">
        <v>0.421218</v>
      </c>
      <c r="AZ139" s="8"/>
      <c r="BA139" s="1"/>
      <c r="BB139" s="7"/>
      <c r="BC139" s="9" t="s">
        <v>153</v>
      </c>
      <c r="BD139" s="9" t="s">
        <v>126</v>
      </c>
      <c r="BE139" s="10" t="str">
        <f t="shared" si="5"/>
        <v>subtropic</v>
      </c>
      <c r="BF139" s="11"/>
    </row>
    <row r="140" ht="57" spans="1:58">
      <c r="A140">
        <v>162</v>
      </c>
      <c r="B140" t="s">
        <v>856</v>
      </c>
      <c r="C140" t="s">
        <v>859</v>
      </c>
      <c r="D140">
        <v>2012</v>
      </c>
      <c r="E140" s="12" t="s">
        <v>860</v>
      </c>
      <c r="F140" t="s">
        <v>276</v>
      </c>
      <c r="G140">
        <v>30.3298</v>
      </c>
      <c r="H140">
        <v>-81.6592</v>
      </c>
      <c r="I140">
        <v>14</v>
      </c>
      <c r="J140" t="s">
        <v>89</v>
      </c>
      <c r="K140" t="s">
        <v>182</v>
      </c>
      <c r="L140" t="s">
        <v>183</v>
      </c>
      <c r="M140" t="s">
        <v>147</v>
      </c>
      <c r="N140" t="s">
        <v>72</v>
      </c>
      <c r="O140" t="s">
        <v>147</v>
      </c>
      <c r="P140" t="s">
        <v>148</v>
      </c>
      <c r="Q140" t="s">
        <v>74</v>
      </c>
      <c r="R140" t="s">
        <v>75</v>
      </c>
      <c r="S140" s="1" t="s">
        <v>172</v>
      </c>
      <c r="T140" s="1" t="s">
        <v>172</v>
      </c>
      <c r="U140" s="1" t="s">
        <v>172</v>
      </c>
      <c r="V140" s="1" t="s">
        <v>173</v>
      </c>
      <c r="W140" s="13">
        <v>35</v>
      </c>
      <c r="X140" s="13" t="s">
        <v>79</v>
      </c>
      <c r="Y140" s="13" t="s">
        <v>80</v>
      </c>
      <c r="Z140" s="3">
        <v>29.5</v>
      </c>
      <c r="AA140" s="3">
        <v>2</v>
      </c>
      <c r="AB140" s="3">
        <v>2.5</v>
      </c>
      <c r="AC140" s="4">
        <v>35.2</v>
      </c>
      <c r="AD140" s="3">
        <v>5</v>
      </c>
      <c r="AE140" s="3">
        <v>5.31</v>
      </c>
      <c r="AF140" s="5"/>
      <c r="AG140" s="14"/>
      <c r="AH140" s="14"/>
      <c r="AI140" s="14"/>
      <c r="AJ140" s="14"/>
      <c r="AK140" s="14"/>
      <c r="AL140" s="14"/>
      <c r="AM140" s="7"/>
      <c r="AN140" s="15"/>
      <c r="AO140" s="15"/>
      <c r="AP140" s="7"/>
      <c r="AQ140" s="7"/>
      <c r="AR140" s="7"/>
      <c r="AS140" s="7"/>
      <c r="AT140" s="7"/>
      <c r="AU140" s="7"/>
      <c r="AV140" s="7"/>
      <c r="AW140" s="7"/>
      <c r="AX140" s="7"/>
      <c r="AY140" s="7"/>
      <c r="AZ140" s="8"/>
      <c r="BA140" s="1"/>
      <c r="BB140" s="7"/>
      <c r="BC140" s="9" t="s">
        <v>626</v>
      </c>
      <c r="BD140" s="9" t="s">
        <v>126</v>
      </c>
      <c r="BE140" s="10" t="str">
        <f t="shared" si="5"/>
        <v>subtropic</v>
      </c>
      <c r="BF140" s="11"/>
    </row>
    <row r="141" ht="28.5" spans="1:58">
      <c r="A141">
        <v>164</v>
      </c>
      <c r="B141" t="s">
        <v>861</v>
      </c>
      <c r="C141" t="s">
        <v>864</v>
      </c>
      <c r="D141">
        <v>2011</v>
      </c>
      <c r="E141" s="12" t="s">
        <v>865</v>
      </c>
      <c r="F141" t="s">
        <v>145</v>
      </c>
      <c r="G141">
        <v>-22.6167</v>
      </c>
      <c r="H141">
        <v>-47.6333</v>
      </c>
      <c r="I141">
        <v>14</v>
      </c>
      <c r="J141" t="s">
        <v>89</v>
      </c>
      <c r="K141" t="s">
        <v>444</v>
      </c>
      <c r="L141" t="s">
        <v>146</v>
      </c>
      <c r="M141" t="s">
        <v>147</v>
      </c>
      <c r="N141" t="s">
        <v>72</v>
      </c>
      <c r="O141" t="s">
        <v>147</v>
      </c>
      <c r="P141" t="s">
        <v>148</v>
      </c>
      <c r="Q141" t="s">
        <v>74</v>
      </c>
      <c r="R141" t="s">
        <v>75</v>
      </c>
      <c r="S141" s="1" t="s">
        <v>117</v>
      </c>
      <c r="T141" s="1" t="s">
        <v>117</v>
      </c>
      <c r="U141" s="1" t="s">
        <v>117</v>
      </c>
      <c r="V141" s="1" t="s">
        <v>118</v>
      </c>
      <c r="W141" s="13">
        <v>19.7</v>
      </c>
      <c r="X141" s="13" t="s">
        <v>79</v>
      </c>
      <c r="Y141" s="13" t="s">
        <v>80</v>
      </c>
      <c r="Z141" s="3">
        <v>8</v>
      </c>
      <c r="AA141" s="3">
        <v>5</v>
      </c>
      <c r="AB141" s="3">
        <v>2.121</v>
      </c>
      <c r="AC141" s="4">
        <v>11.4</v>
      </c>
      <c r="AD141" s="3">
        <v>5</v>
      </c>
      <c r="AE141" s="3">
        <v>4.393</v>
      </c>
      <c r="AF141" s="5" t="s">
        <v>81</v>
      </c>
      <c r="AG141" s="14">
        <v>1.713</v>
      </c>
      <c r="AH141" s="14">
        <v>5</v>
      </c>
      <c r="AI141" s="14">
        <v>0.307</v>
      </c>
      <c r="AJ141" s="14">
        <v>1.746</v>
      </c>
      <c r="AK141" s="14">
        <v>5</v>
      </c>
      <c r="AL141" s="14">
        <v>0.303</v>
      </c>
      <c r="AM141" s="7"/>
      <c r="AN141" s="15"/>
      <c r="AO141" s="15"/>
      <c r="AP141" s="7"/>
      <c r="AQ141" s="7"/>
      <c r="AR141" s="7"/>
      <c r="AS141" s="7"/>
      <c r="AT141" s="7"/>
      <c r="AU141" s="7"/>
      <c r="AV141" s="7"/>
      <c r="AW141" s="7"/>
      <c r="AX141" s="7"/>
      <c r="AY141" s="7"/>
      <c r="AZ141" s="8" t="s">
        <v>848</v>
      </c>
      <c r="BA141" s="1"/>
      <c r="BB141" s="7"/>
      <c r="BC141" s="9" t="s">
        <v>153</v>
      </c>
      <c r="BD141" s="9" t="s">
        <v>126</v>
      </c>
      <c r="BE141" s="10" t="str">
        <f t="shared" si="5"/>
        <v>tropic</v>
      </c>
      <c r="BF141" s="11"/>
    </row>
    <row r="142" ht="42.75" spans="1:58">
      <c r="A142">
        <v>165</v>
      </c>
      <c r="B142" t="s">
        <v>866</v>
      </c>
      <c r="C142" t="s">
        <v>869</v>
      </c>
      <c r="D142">
        <v>2011</v>
      </c>
      <c r="E142" s="12" t="s">
        <v>870</v>
      </c>
      <c r="F142" t="s">
        <v>871</v>
      </c>
      <c r="G142">
        <v>-36.9915</v>
      </c>
      <c r="H142">
        <v>174.8734</v>
      </c>
      <c r="I142">
        <v>15</v>
      </c>
      <c r="J142" t="s">
        <v>357</v>
      </c>
      <c r="K142" t="s">
        <v>182</v>
      </c>
      <c r="L142" t="s">
        <v>358</v>
      </c>
      <c r="M142" t="s">
        <v>147</v>
      </c>
      <c r="N142" t="s">
        <v>72</v>
      </c>
      <c r="O142" t="s">
        <v>147</v>
      </c>
      <c r="P142" t="s">
        <v>148</v>
      </c>
      <c r="Q142" t="s">
        <v>74</v>
      </c>
      <c r="R142" t="s">
        <v>75</v>
      </c>
      <c r="S142" s="1" t="s">
        <v>172</v>
      </c>
      <c r="T142" s="1" t="s">
        <v>172</v>
      </c>
      <c r="U142" s="1" t="s">
        <v>172</v>
      </c>
      <c r="V142" s="1" t="s">
        <v>173</v>
      </c>
      <c r="W142" s="13">
        <v>6.2</v>
      </c>
      <c r="X142" s="13" t="s">
        <v>192</v>
      </c>
      <c r="Y142" s="13" t="s">
        <v>80</v>
      </c>
      <c r="Z142" s="3">
        <v>26</v>
      </c>
      <c r="AA142" s="3">
        <v>3</v>
      </c>
      <c r="AB142" s="3">
        <v>2.04</v>
      </c>
      <c r="AC142" s="4">
        <v>13.22</v>
      </c>
      <c r="AD142" s="3">
        <v>3</v>
      </c>
      <c r="AE142" s="3">
        <v>1.8</v>
      </c>
      <c r="AF142" s="5"/>
      <c r="AG142" s="14"/>
      <c r="AH142" s="14"/>
      <c r="AI142" s="14"/>
      <c r="AJ142" s="14"/>
      <c r="AK142" s="14"/>
      <c r="AL142" s="14"/>
      <c r="AM142" s="7"/>
      <c r="AN142" s="15"/>
      <c r="AO142" s="15"/>
      <c r="AP142" s="7"/>
      <c r="AQ142" s="7"/>
      <c r="AR142" s="7"/>
      <c r="AS142" s="7"/>
      <c r="AT142" s="7"/>
      <c r="AU142" s="7"/>
      <c r="AV142" s="7"/>
      <c r="AW142" s="7"/>
      <c r="AX142" s="7"/>
      <c r="AY142" s="7"/>
      <c r="AZ142" s="8"/>
      <c r="BA142" s="1"/>
      <c r="BB142" s="7"/>
      <c r="BC142" s="9" t="s">
        <v>871</v>
      </c>
      <c r="BD142" s="9" t="s">
        <v>126</v>
      </c>
      <c r="BE142" s="10" t="str">
        <f t="shared" ref="BE142:BE176" si="6">IF(ABS(G142)&lt;23.5,"tropic",IF(ABS(G142)&lt;40,"subtropic",IF(ABS(G142)&lt;60,"temperate","arctic")))</f>
        <v>subtropic</v>
      </c>
      <c r="BF142" s="11"/>
    </row>
    <row r="143" ht="42.75" spans="1:58">
      <c r="A143">
        <v>166</v>
      </c>
      <c r="B143" t="s">
        <v>872</v>
      </c>
      <c r="C143" t="s">
        <v>875</v>
      </c>
      <c r="D143">
        <v>2010</v>
      </c>
      <c r="E143" s="12" t="s">
        <v>876</v>
      </c>
      <c r="F143" t="s">
        <v>356</v>
      </c>
      <c r="G143" s="1">
        <v>-33.7556</v>
      </c>
      <c r="H143" s="25">
        <v>151.15</v>
      </c>
      <c r="I143">
        <v>14</v>
      </c>
      <c r="J143" t="s">
        <v>89</v>
      </c>
      <c r="K143" s="25" t="s">
        <v>182</v>
      </c>
      <c r="L143" t="s">
        <v>358</v>
      </c>
      <c r="M143" t="s">
        <v>147</v>
      </c>
      <c r="N143" t="s">
        <v>72</v>
      </c>
      <c r="O143" t="s">
        <v>147</v>
      </c>
      <c r="P143" t="s">
        <v>148</v>
      </c>
      <c r="Q143" t="s">
        <v>74</v>
      </c>
      <c r="R143" t="s">
        <v>75</v>
      </c>
      <c r="S143" s="1" t="s">
        <v>172</v>
      </c>
      <c r="T143" s="1" t="s">
        <v>172</v>
      </c>
      <c r="U143" s="1" t="s">
        <v>172</v>
      </c>
      <c r="V143" s="1" t="s">
        <v>173</v>
      </c>
      <c r="W143" s="13">
        <v>22</v>
      </c>
      <c r="X143" s="13" t="s">
        <v>79</v>
      </c>
      <c r="Y143" s="13" t="s">
        <v>80</v>
      </c>
      <c r="Z143" s="3">
        <v>21.887</v>
      </c>
      <c r="AA143" s="3">
        <v>20</v>
      </c>
      <c r="AB143" s="3">
        <v>3.819</v>
      </c>
      <c r="AC143" s="24">
        <v>14.562</v>
      </c>
      <c r="AD143" s="3">
        <v>13</v>
      </c>
      <c r="AE143" s="3">
        <v>3.9</v>
      </c>
      <c r="AF143" s="5"/>
      <c r="AG143" s="14"/>
      <c r="AH143" s="14"/>
      <c r="AI143" s="14"/>
      <c r="AJ143" s="14"/>
      <c r="AK143" s="14"/>
      <c r="AL143" s="14"/>
      <c r="AM143" s="7"/>
      <c r="AN143" s="15"/>
      <c r="AO143" s="15"/>
      <c r="AP143" s="7"/>
      <c r="AQ143" s="7"/>
      <c r="AR143" s="7"/>
      <c r="AS143" s="7"/>
      <c r="AT143" s="7"/>
      <c r="AU143" s="7"/>
      <c r="AV143" s="7"/>
      <c r="AW143" s="7"/>
      <c r="AX143" s="7"/>
      <c r="AY143" s="7"/>
      <c r="AZ143" s="8" t="s">
        <v>151</v>
      </c>
      <c r="BA143" s="1"/>
      <c r="BB143" s="7"/>
      <c r="BC143" s="9" t="s">
        <v>361</v>
      </c>
      <c r="BD143" s="9" t="s">
        <v>126</v>
      </c>
      <c r="BE143" s="10" t="str">
        <f t="shared" si="6"/>
        <v>subtropic</v>
      </c>
      <c r="BF143" s="11"/>
    </row>
    <row r="144" ht="42.75" spans="1:58">
      <c r="A144">
        <v>167</v>
      </c>
      <c r="B144" t="s">
        <v>872</v>
      </c>
      <c r="C144" t="s">
        <v>875</v>
      </c>
      <c r="D144">
        <v>2010</v>
      </c>
      <c r="E144" s="12" t="s">
        <v>876</v>
      </c>
      <c r="F144" t="s">
        <v>356</v>
      </c>
      <c r="G144" s="1">
        <v>-33.7556</v>
      </c>
      <c r="H144" s="25">
        <v>151.15</v>
      </c>
      <c r="I144">
        <v>14</v>
      </c>
      <c r="J144" t="s">
        <v>89</v>
      </c>
      <c r="K144" s="25" t="s">
        <v>182</v>
      </c>
      <c r="L144" t="s">
        <v>358</v>
      </c>
      <c r="M144" t="s">
        <v>147</v>
      </c>
      <c r="N144" t="s">
        <v>72</v>
      </c>
      <c r="O144" t="s">
        <v>147</v>
      </c>
      <c r="P144" t="s">
        <v>148</v>
      </c>
      <c r="Q144" t="s">
        <v>74</v>
      </c>
      <c r="R144" t="s">
        <v>75</v>
      </c>
      <c r="S144" s="1" t="s">
        <v>172</v>
      </c>
      <c r="T144" s="1" t="s">
        <v>172</v>
      </c>
      <c r="U144" s="1" t="s">
        <v>172</v>
      </c>
      <c r="V144" s="1" t="s">
        <v>173</v>
      </c>
      <c r="W144" s="13">
        <v>22</v>
      </c>
      <c r="X144" s="13" t="s">
        <v>79</v>
      </c>
      <c r="Y144" s="13" t="s">
        <v>80</v>
      </c>
      <c r="Z144" s="3">
        <v>16.576</v>
      </c>
      <c r="AA144" s="3">
        <v>20</v>
      </c>
      <c r="AB144" s="3">
        <v>3.564</v>
      </c>
      <c r="AC144" s="24">
        <v>11.877</v>
      </c>
      <c r="AD144" s="3">
        <v>13</v>
      </c>
      <c r="AE144" s="3">
        <v>2.873</v>
      </c>
      <c r="AF144" s="5"/>
      <c r="AG144" s="14"/>
      <c r="AH144" s="14"/>
      <c r="AI144" s="14"/>
      <c r="AJ144" s="14"/>
      <c r="AK144" s="14"/>
      <c r="AL144" s="14"/>
      <c r="AM144" s="7"/>
      <c r="AN144" s="15"/>
      <c r="AO144" s="15"/>
      <c r="AP144" s="7"/>
      <c r="AQ144" s="7"/>
      <c r="AR144" s="7"/>
      <c r="AS144" s="7"/>
      <c r="AT144" s="7"/>
      <c r="AU144" s="7"/>
      <c r="AV144" s="7"/>
      <c r="AW144" s="7"/>
      <c r="AX144" s="7"/>
      <c r="AY144" s="7"/>
      <c r="AZ144" s="8" t="s">
        <v>878</v>
      </c>
      <c r="BA144" s="1"/>
      <c r="BB144" s="7"/>
      <c r="BC144" s="9" t="s">
        <v>361</v>
      </c>
      <c r="BD144" s="9" t="s">
        <v>126</v>
      </c>
      <c r="BE144" s="10" t="str">
        <f t="shared" si="6"/>
        <v>subtropic</v>
      </c>
      <c r="BF144" s="11"/>
    </row>
    <row r="145" ht="42.75" spans="1:58">
      <c r="A145">
        <v>168</v>
      </c>
      <c r="B145" t="s">
        <v>872</v>
      </c>
      <c r="C145" t="s">
        <v>875</v>
      </c>
      <c r="D145">
        <v>2010</v>
      </c>
      <c r="E145" s="12" t="s">
        <v>876</v>
      </c>
      <c r="F145" t="s">
        <v>356</v>
      </c>
      <c r="G145" s="1">
        <v>-33.7556</v>
      </c>
      <c r="H145" s="25">
        <v>151.15</v>
      </c>
      <c r="I145">
        <v>14</v>
      </c>
      <c r="J145" t="s">
        <v>89</v>
      </c>
      <c r="K145" s="25" t="s">
        <v>182</v>
      </c>
      <c r="L145" t="s">
        <v>358</v>
      </c>
      <c r="M145" t="s">
        <v>147</v>
      </c>
      <c r="N145" t="s">
        <v>72</v>
      </c>
      <c r="O145" t="s">
        <v>147</v>
      </c>
      <c r="P145" t="s">
        <v>148</v>
      </c>
      <c r="Q145" t="s">
        <v>74</v>
      </c>
      <c r="R145" t="s">
        <v>75</v>
      </c>
      <c r="S145" s="1" t="s">
        <v>172</v>
      </c>
      <c r="T145" s="1" t="s">
        <v>172</v>
      </c>
      <c r="U145" s="1" t="s">
        <v>172</v>
      </c>
      <c r="V145" s="1" t="s">
        <v>173</v>
      </c>
      <c r="W145" s="13">
        <v>22</v>
      </c>
      <c r="X145" s="13" t="s">
        <v>79</v>
      </c>
      <c r="Y145" s="13" t="s">
        <v>80</v>
      </c>
      <c r="Z145" s="3">
        <v>25.827</v>
      </c>
      <c r="AA145" s="3">
        <v>20</v>
      </c>
      <c r="AB145" s="3">
        <v>3.564</v>
      </c>
      <c r="AC145" s="4">
        <v>17.13</v>
      </c>
      <c r="AD145" s="3">
        <v>13</v>
      </c>
      <c r="AE145" s="3">
        <v>3.694</v>
      </c>
      <c r="AF145" s="5"/>
      <c r="AG145" s="14"/>
      <c r="AH145" s="14"/>
      <c r="AI145" s="14"/>
      <c r="AJ145" s="14"/>
      <c r="AK145" s="14"/>
      <c r="AL145" s="14"/>
      <c r="AM145" s="7"/>
      <c r="AN145" s="15"/>
      <c r="AO145" s="15"/>
      <c r="AP145" s="7"/>
      <c r="AQ145" s="7"/>
      <c r="AR145" s="7"/>
      <c r="AS145" s="7"/>
      <c r="AT145" s="7"/>
      <c r="AU145" s="7"/>
      <c r="AV145" s="7"/>
      <c r="AW145" s="7"/>
      <c r="AX145" s="7"/>
      <c r="AY145" s="7"/>
      <c r="AZ145" s="8" t="s">
        <v>880</v>
      </c>
      <c r="BA145" s="1"/>
      <c r="BB145" s="7"/>
      <c r="BC145" s="9" t="s">
        <v>361</v>
      </c>
      <c r="BD145" s="9" t="s">
        <v>126</v>
      </c>
      <c r="BE145" s="10" t="str">
        <f t="shared" si="6"/>
        <v>subtropic</v>
      </c>
      <c r="BF145" s="11"/>
    </row>
    <row r="146" ht="42.75" spans="1:58">
      <c r="A146">
        <v>169</v>
      </c>
      <c r="B146" t="s">
        <v>881</v>
      </c>
      <c r="C146" t="s">
        <v>884</v>
      </c>
      <c r="D146">
        <v>2010</v>
      </c>
      <c r="E146" s="12" t="s">
        <v>885</v>
      </c>
      <c r="F146" t="s">
        <v>68</v>
      </c>
      <c r="G146" s="1">
        <v>24</v>
      </c>
      <c r="H146" s="1">
        <v>115.25</v>
      </c>
      <c r="I146">
        <v>11</v>
      </c>
      <c r="J146" t="s">
        <v>111</v>
      </c>
      <c r="K146" s="1" t="s">
        <v>444</v>
      </c>
      <c r="L146" t="s">
        <v>71</v>
      </c>
      <c r="M146" t="s">
        <v>72</v>
      </c>
      <c r="N146" t="s">
        <v>72</v>
      </c>
      <c r="O146" t="s">
        <v>72</v>
      </c>
      <c r="P146" t="s">
        <v>73</v>
      </c>
      <c r="Q146" t="s">
        <v>74</v>
      </c>
      <c r="R146" t="s">
        <v>75</v>
      </c>
      <c r="S146" s="1" t="s">
        <v>172</v>
      </c>
      <c r="T146" s="1" t="s">
        <v>172</v>
      </c>
      <c r="U146" s="1" t="s">
        <v>172</v>
      </c>
      <c r="V146" s="1" t="s">
        <v>173</v>
      </c>
      <c r="W146" s="13">
        <v>275</v>
      </c>
      <c r="X146" s="13" t="s">
        <v>93</v>
      </c>
      <c r="Y146" s="13" t="s">
        <v>94</v>
      </c>
      <c r="Z146" s="3">
        <v>21.769</v>
      </c>
      <c r="AA146" s="3">
        <v>3</v>
      </c>
      <c r="AB146" s="3">
        <v>3.614</v>
      </c>
      <c r="AC146" s="4">
        <v>10.668</v>
      </c>
      <c r="AD146" s="3">
        <v>4</v>
      </c>
      <c r="AE146" s="3">
        <v>8.921</v>
      </c>
      <c r="AF146" s="5"/>
      <c r="AG146" s="14"/>
      <c r="AH146" s="14"/>
      <c r="AI146" s="14"/>
      <c r="AJ146" s="14"/>
      <c r="AK146" s="14"/>
      <c r="AL146" s="14"/>
      <c r="AM146" s="7"/>
      <c r="AN146" s="15"/>
      <c r="AO146" s="15"/>
      <c r="AP146" s="7"/>
      <c r="AQ146" s="7"/>
      <c r="AR146" s="7"/>
      <c r="AS146" s="7"/>
      <c r="AT146" s="7"/>
      <c r="AU146" s="7"/>
      <c r="AV146" s="7"/>
      <c r="AW146" s="7"/>
      <c r="AX146" s="7"/>
      <c r="AY146" s="7"/>
      <c r="AZ146" s="8"/>
      <c r="BA146" s="1"/>
      <c r="BB146" s="7"/>
      <c r="BC146" s="9" t="s">
        <v>82</v>
      </c>
      <c r="BD146" s="9" t="s">
        <v>82</v>
      </c>
      <c r="BE146" s="10" t="str">
        <f t="shared" si="6"/>
        <v>subtropic</v>
      </c>
      <c r="BF146" s="11"/>
    </row>
    <row r="147" ht="42.75" spans="1:58">
      <c r="A147">
        <v>170</v>
      </c>
      <c r="B147" t="s">
        <v>886</v>
      </c>
      <c r="C147" t="s">
        <v>889</v>
      </c>
      <c r="D147">
        <v>2008</v>
      </c>
      <c r="E147" s="12" t="s">
        <v>890</v>
      </c>
      <c r="F147" t="s">
        <v>276</v>
      </c>
      <c r="G147">
        <v>39.084</v>
      </c>
      <c r="H147">
        <v>-122.8084</v>
      </c>
      <c r="I147">
        <v>8</v>
      </c>
      <c r="J147" t="s">
        <v>891</v>
      </c>
      <c r="K147" t="s">
        <v>182</v>
      </c>
      <c r="L147" t="s">
        <v>183</v>
      </c>
      <c r="M147" t="s">
        <v>72</v>
      </c>
      <c r="N147" t="s">
        <v>72</v>
      </c>
      <c r="O147" t="s">
        <v>72</v>
      </c>
      <c r="P147" t="s">
        <v>73</v>
      </c>
      <c r="Q147" t="s">
        <v>74</v>
      </c>
      <c r="R147" t="s">
        <v>75</v>
      </c>
      <c r="S147" s="1" t="s">
        <v>117</v>
      </c>
      <c r="T147" s="1" t="s">
        <v>117</v>
      </c>
      <c r="U147" s="1" t="s">
        <v>117</v>
      </c>
      <c r="V147" s="1" t="s">
        <v>118</v>
      </c>
      <c r="W147" s="13">
        <v>61.7</v>
      </c>
      <c r="X147" s="13" t="s">
        <v>119</v>
      </c>
      <c r="Y147" s="13" t="s">
        <v>80</v>
      </c>
      <c r="Z147" s="3">
        <v>13</v>
      </c>
      <c r="AA147" s="3">
        <v>14</v>
      </c>
      <c r="AB147" s="3">
        <v>5.386</v>
      </c>
      <c r="AC147" s="4">
        <v>9</v>
      </c>
      <c r="AD147" s="3">
        <v>16</v>
      </c>
      <c r="AE147" s="3">
        <v>4.264</v>
      </c>
      <c r="AF147" s="5" t="s">
        <v>81</v>
      </c>
      <c r="AG147" s="14">
        <v>1.92</v>
      </c>
      <c r="AH147" s="14">
        <v>14</v>
      </c>
      <c r="AI147" s="14">
        <v>0.396</v>
      </c>
      <c r="AJ147" s="14">
        <v>1.38</v>
      </c>
      <c r="AK147" s="14">
        <v>16</v>
      </c>
      <c r="AL147" s="14">
        <v>0.514</v>
      </c>
      <c r="AM147" s="7"/>
      <c r="AN147" s="15"/>
      <c r="AO147" s="15"/>
      <c r="AP147" s="7"/>
      <c r="AQ147" s="7"/>
      <c r="AR147" s="7"/>
      <c r="AS147" s="7"/>
      <c r="AT147" s="7"/>
      <c r="AU147" s="7"/>
      <c r="AV147" s="7"/>
      <c r="AW147" s="7"/>
      <c r="AX147" s="7"/>
      <c r="AY147" s="7"/>
      <c r="AZ147" s="8"/>
      <c r="BA147" s="1"/>
      <c r="BB147" s="7"/>
      <c r="BC147" s="9" t="s">
        <v>892</v>
      </c>
      <c r="BD147" s="9" t="s">
        <v>126</v>
      </c>
      <c r="BE147" s="10" t="str">
        <f t="shared" si="6"/>
        <v>subtropic</v>
      </c>
      <c r="BF147" s="11"/>
    </row>
    <row r="148" ht="42.75" spans="1:58">
      <c r="A148">
        <v>171</v>
      </c>
      <c r="B148" t="s">
        <v>893</v>
      </c>
      <c r="C148" t="s">
        <v>896</v>
      </c>
      <c r="D148">
        <v>2007</v>
      </c>
      <c r="E148" s="12" t="s">
        <v>897</v>
      </c>
      <c r="F148" t="s">
        <v>332</v>
      </c>
      <c r="G148">
        <v>45.452</v>
      </c>
      <c r="H148">
        <v>-75.6292</v>
      </c>
      <c r="I148">
        <v>26</v>
      </c>
      <c r="J148" t="s">
        <v>181</v>
      </c>
      <c r="K148" t="s">
        <v>182</v>
      </c>
      <c r="L148" t="s">
        <v>183</v>
      </c>
      <c r="M148" t="s">
        <v>277</v>
      </c>
      <c r="N148" t="s">
        <v>278</v>
      </c>
      <c r="O148" t="s">
        <v>277</v>
      </c>
      <c r="P148" t="s">
        <v>279</v>
      </c>
      <c r="Q148" t="s">
        <v>280</v>
      </c>
      <c r="R148" t="s">
        <v>75</v>
      </c>
      <c r="S148" s="1" t="s">
        <v>389</v>
      </c>
      <c r="T148" s="1" t="s">
        <v>284</v>
      </c>
      <c r="U148" s="1" t="s">
        <v>281</v>
      </c>
      <c r="V148" s="1" t="s">
        <v>390</v>
      </c>
      <c r="W148" s="13">
        <v>116.6</v>
      </c>
      <c r="X148" s="13" t="s">
        <v>174</v>
      </c>
      <c r="Y148" s="13" t="s">
        <v>94</v>
      </c>
      <c r="Z148" s="3">
        <v>5.093</v>
      </c>
      <c r="AA148" s="3">
        <v>9</v>
      </c>
      <c r="AB148" s="3">
        <v>0.8447</v>
      </c>
      <c r="AC148" s="4">
        <v>2.108</v>
      </c>
      <c r="AD148" s="3">
        <v>10</v>
      </c>
      <c r="AE148" s="3">
        <v>0.809</v>
      </c>
      <c r="AF148" s="5"/>
      <c r="AG148" s="14"/>
      <c r="AH148" s="14"/>
      <c r="AI148" s="14"/>
      <c r="AJ148" s="14"/>
      <c r="AK148" s="14"/>
      <c r="AL148" s="14"/>
      <c r="AM148" s="7"/>
      <c r="AN148" s="15"/>
      <c r="AO148" s="15"/>
      <c r="AP148" s="7"/>
      <c r="AQ148" s="7"/>
      <c r="AR148" s="7"/>
      <c r="AS148" s="7"/>
      <c r="AT148" s="7"/>
      <c r="AU148" s="7"/>
      <c r="AV148" s="7"/>
      <c r="AW148" s="7"/>
      <c r="AX148" s="7"/>
      <c r="AY148" s="7"/>
      <c r="AZ148" s="8"/>
      <c r="BA148" s="1"/>
      <c r="BB148" s="7"/>
      <c r="BC148" s="9" t="s">
        <v>82</v>
      </c>
      <c r="BD148" s="9" t="s">
        <v>82</v>
      </c>
      <c r="BE148" s="10" t="str">
        <f t="shared" si="6"/>
        <v>temperate</v>
      </c>
      <c r="BF148" s="11" t="s">
        <v>1028</v>
      </c>
    </row>
    <row r="149" ht="42.75" spans="1:58">
      <c r="A149">
        <v>172</v>
      </c>
      <c r="B149" t="s">
        <v>898</v>
      </c>
      <c r="C149" t="s">
        <v>901</v>
      </c>
      <c r="D149">
        <v>2006</v>
      </c>
      <c r="E149" s="12" t="s">
        <v>902</v>
      </c>
      <c r="F149" t="s">
        <v>276</v>
      </c>
      <c r="G149">
        <v>41.3267</v>
      </c>
      <c r="H149">
        <v>-72.8043</v>
      </c>
      <c r="I149">
        <v>25</v>
      </c>
      <c r="J149" t="s">
        <v>216</v>
      </c>
      <c r="K149" t="s">
        <v>182</v>
      </c>
      <c r="L149" t="s">
        <v>183</v>
      </c>
      <c r="M149" t="s">
        <v>147</v>
      </c>
      <c r="N149" t="s">
        <v>72</v>
      </c>
      <c r="O149" t="s">
        <v>147</v>
      </c>
      <c r="P149" t="s">
        <v>148</v>
      </c>
      <c r="Q149" t="s">
        <v>74</v>
      </c>
      <c r="R149" t="s">
        <v>75</v>
      </c>
      <c r="S149" s="1" t="s">
        <v>172</v>
      </c>
      <c r="T149" s="1" t="s">
        <v>172</v>
      </c>
      <c r="U149" s="1" t="s">
        <v>286</v>
      </c>
      <c r="V149" s="1" t="s">
        <v>287</v>
      </c>
      <c r="W149" s="13">
        <v>16</v>
      </c>
      <c r="X149" s="13" t="s">
        <v>79</v>
      </c>
      <c r="Y149" s="13" t="s">
        <v>80</v>
      </c>
      <c r="Z149" s="3">
        <v>15.246</v>
      </c>
      <c r="AA149" s="3">
        <v>3</v>
      </c>
      <c r="AB149" s="3">
        <v>0.912</v>
      </c>
      <c r="AC149" s="4">
        <v>5.3</v>
      </c>
      <c r="AD149" s="3">
        <v>3</v>
      </c>
      <c r="AE149" s="3">
        <v>2.007</v>
      </c>
      <c r="AF149" s="5"/>
      <c r="AG149" s="14"/>
      <c r="AH149" s="14"/>
      <c r="AI149" s="14"/>
      <c r="AJ149" s="14"/>
      <c r="AK149" s="14"/>
      <c r="AL149" s="14"/>
      <c r="AM149" s="7"/>
      <c r="AN149" s="15"/>
      <c r="AO149" s="15"/>
      <c r="AP149" s="7"/>
      <c r="AQ149" s="7"/>
      <c r="AR149" s="7"/>
      <c r="AS149" s="7"/>
      <c r="AT149" s="7"/>
      <c r="AU149" s="7"/>
      <c r="AV149" s="7"/>
      <c r="AW149" s="7"/>
      <c r="AX149" s="7"/>
      <c r="AY149" s="7"/>
      <c r="AZ149" s="8"/>
      <c r="BA149" s="1"/>
      <c r="BB149" s="7"/>
      <c r="BC149" s="9" t="s">
        <v>82</v>
      </c>
      <c r="BD149" s="9" t="s">
        <v>82</v>
      </c>
      <c r="BE149" s="10" t="str">
        <f t="shared" si="6"/>
        <v>temperate</v>
      </c>
      <c r="BF149" s="11"/>
    </row>
    <row r="150" ht="57" spans="1:58">
      <c r="A150">
        <v>173</v>
      </c>
      <c r="B150" t="s">
        <v>903</v>
      </c>
      <c r="C150" t="s">
        <v>906</v>
      </c>
      <c r="D150">
        <v>2006</v>
      </c>
      <c r="E150" s="12" t="s">
        <v>907</v>
      </c>
      <c r="F150" t="s">
        <v>145</v>
      </c>
      <c r="G150">
        <v>-27.5833</v>
      </c>
      <c r="H150">
        <v>-48.5833</v>
      </c>
      <c r="I150">
        <v>14</v>
      </c>
      <c r="J150" t="s">
        <v>89</v>
      </c>
      <c r="K150" t="s">
        <v>444</v>
      </c>
      <c r="L150" t="s">
        <v>146</v>
      </c>
      <c r="M150" t="s">
        <v>72</v>
      </c>
      <c r="N150" t="s">
        <v>72</v>
      </c>
      <c r="O150" t="s">
        <v>72</v>
      </c>
      <c r="P150" t="s">
        <v>73</v>
      </c>
      <c r="Q150" t="s">
        <v>74</v>
      </c>
      <c r="R150" t="s">
        <v>75</v>
      </c>
      <c r="S150" s="1" t="s">
        <v>908</v>
      </c>
      <c r="T150" s="1" t="s">
        <v>172</v>
      </c>
      <c r="U150" s="1" t="s">
        <v>286</v>
      </c>
      <c r="V150" s="1" t="s">
        <v>287</v>
      </c>
      <c r="W150" s="13">
        <v>39</v>
      </c>
      <c r="X150" s="13" t="s">
        <v>79</v>
      </c>
      <c r="Y150" s="13" t="s">
        <v>80</v>
      </c>
      <c r="Z150" s="20">
        <v>5.355</v>
      </c>
      <c r="AA150" s="3">
        <v>3</v>
      </c>
      <c r="AB150" s="20">
        <v>1.508</v>
      </c>
      <c r="AC150" s="3">
        <v>3.341</v>
      </c>
      <c r="AD150" s="3">
        <v>3</v>
      </c>
      <c r="AE150" s="20">
        <v>1.157</v>
      </c>
      <c r="AF150" s="5"/>
      <c r="AG150" s="14"/>
      <c r="AH150" s="14"/>
      <c r="AI150" s="14"/>
      <c r="AJ150" s="14"/>
      <c r="AK150" s="14"/>
      <c r="AL150" s="14"/>
      <c r="AM150" s="7"/>
      <c r="AN150" s="15"/>
      <c r="AO150" s="15"/>
      <c r="AP150" s="7"/>
      <c r="AQ150" s="7"/>
      <c r="AR150" s="7"/>
      <c r="AS150" s="7"/>
      <c r="AT150" s="7"/>
      <c r="AU150" s="7"/>
      <c r="AV150" s="7"/>
      <c r="AW150" s="7"/>
      <c r="AX150" s="7"/>
      <c r="AY150" s="7"/>
      <c r="AZ150" s="8"/>
      <c r="BA150" s="1"/>
      <c r="BB150" s="7"/>
      <c r="BC150" s="9" t="s">
        <v>153</v>
      </c>
      <c r="BD150" s="9" t="s">
        <v>126</v>
      </c>
      <c r="BE150" s="10" t="str">
        <f t="shared" si="6"/>
        <v>subtropic</v>
      </c>
      <c r="BF150" s="11"/>
    </row>
    <row r="151" ht="57" spans="1:58">
      <c r="A151">
        <v>174</v>
      </c>
      <c r="B151" t="s">
        <v>903</v>
      </c>
      <c r="C151" t="s">
        <v>906</v>
      </c>
      <c r="D151">
        <v>2006</v>
      </c>
      <c r="E151" s="12" t="s">
        <v>907</v>
      </c>
      <c r="F151" t="s">
        <v>145</v>
      </c>
      <c r="G151">
        <v>-27.5833</v>
      </c>
      <c r="H151">
        <v>-48.5833</v>
      </c>
      <c r="I151">
        <v>14</v>
      </c>
      <c r="J151" t="s">
        <v>89</v>
      </c>
      <c r="K151" t="s">
        <v>444</v>
      </c>
      <c r="L151" t="s">
        <v>146</v>
      </c>
      <c r="M151" t="s">
        <v>72</v>
      </c>
      <c r="N151" t="s">
        <v>72</v>
      </c>
      <c r="O151" t="s">
        <v>72</v>
      </c>
      <c r="P151" t="s">
        <v>73</v>
      </c>
      <c r="Q151" t="s">
        <v>74</v>
      </c>
      <c r="R151" t="s">
        <v>75</v>
      </c>
      <c r="S151" s="1" t="s">
        <v>908</v>
      </c>
      <c r="T151" s="1" t="s">
        <v>172</v>
      </c>
      <c r="U151" s="1" t="s">
        <v>286</v>
      </c>
      <c r="V151" s="1" t="s">
        <v>287</v>
      </c>
      <c r="W151" s="13">
        <v>39</v>
      </c>
      <c r="X151" s="13" t="s">
        <v>79</v>
      </c>
      <c r="Y151" s="13" t="s">
        <v>80</v>
      </c>
      <c r="Z151" s="3">
        <v>4.679</v>
      </c>
      <c r="AA151" s="3">
        <v>3</v>
      </c>
      <c r="AB151" s="3">
        <v>2.041</v>
      </c>
      <c r="AC151" s="4">
        <v>0.663</v>
      </c>
      <c r="AD151" s="3">
        <v>3</v>
      </c>
      <c r="AE151" s="3">
        <v>0.572</v>
      </c>
      <c r="AF151" s="5"/>
      <c r="AG151" s="14"/>
      <c r="AH151" s="14"/>
      <c r="AI151" s="14"/>
      <c r="AJ151" s="14"/>
      <c r="AK151" s="14"/>
      <c r="AL151" s="14"/>
      <c r="AM151" s="7"/>
      <c r="AN151" s="15"/>
      <c r="AO151" s="15"/>
      <c r="AP151" s="7"/>
      <c r="AQ151" s="7"/>
      <c r="AR151" s="7"/>
      <c r="AS151" s="7"/>
      <c r="AT151" s="7"/>
      <c r="AU151" s="7"/>
      <c r="AV151" s="7"/>
      <c r="AW151" s="7"/>
      <c r="AX151" s="7"/>
      <c r="AY151" s="7"/>
      <c r="AZ151" s="8"/>
      <c r="BA151" s="1"/>
      <c r="BB151" s="7"/>
      <c r="BC151" s="9" t="s">
        <v>153</v>
      </c>
      <c r="BD151" s="9" t="s">
        <v>126</v>
      </c>
      <c r="BE151" s="10" t="str">
        <f t="shared" si="6"/>
        <v>subtropic</v>
      </c>
      <c r="BF151" s="11"/>
    </row>
    <row r="152" ht="57" spans="1:58">
      <c r="A152">
        <v>175</v>
      </c>
      <c r="B152" t="s">
        <v>903</v>
      </c>
      <c r="C152" t="s">
        <v>906</v>
      </c>
      <c r="D152">
        <v>2006</v>
      </c>
      <c r="E152" s="12" t="s">
        <v>907</v>
      </c>
      <c r="F152" t="s">
        <v>145</v>
      </c>
      <c r="G152">
        <v>-27.5833</v>
      </c>
      <c r="H152">
        <v>-48.5833</v>
      </c>
      <c r="I152">
        <v>14</v>
      </c>
      <c r="J152" t="s">
        <v>89</v>
      </c>
      <c r="K152" t="s">
        <v>444</v>
      </c>
      <c r="L152" t="s">
        <v>146</v>
      </c>
      <c r="M152" t="s">
        <v>72</v>
      </c>
      <c r="N152" t="s">
        <v>72</v>
      </c>
      <c r="O152" t="s">
        <v>72</v>
      </c>
      <c r="P152" t="s">
        <v>73</v>
      </c>
      <c r="Q152" t="s">
        <v>74</v>
      </c>
      <c r="R152" t="s">
        <v>75</v>
      </c>
      <c r="S152" s="1" t="s">
        <v>908</v>
      </c>
      <c r="T152" s="1" t="s">
        <v>172</v>
      </c>
      <c r="U152" s="1" t="s">
        <v>286</v>
      </c>
      <c r="V152" s="1" t="s">
        <v>287</v>
      </c>
      <c r="W152" s="13">
        <v>39</v>
      </c>
      <c r="X152" s="13" t="s">
        <v>79</v>
      </c>
      <c r="Y152" s="13" t="s">
        <v>80</v>
      </c>
      <c r="Z152" s="4">
        <v>6.356</v>
      </c>
      <c r="AA152" s="3">
        <v>3</v>
      </c>
      <c r="AB152" s="4">
        <v>1.495</v>
      </c>
      <c r="AC152" s="4">
        <v>3.666</v>
      </c>
      <c r="AD152" s="3">
        <v>3</v>
      </c>
      <c r="AE152" s="4">
        <v>0.546</v>
      </c>
      <c r="AF152" s="5"/>
      <c r="AG152" s="14"/>
      <c r="AH152" s="14"/>
      <c r="AI152" s="14"/>
      <c r="AJ152" s="14"/>
      <c r="AK152" s="14"/>
      <c r="AL152" s="14"/>
      <c r="AM152" s="7"/>
      <c r="AN152" s="15"/>
      <c r="AO152" s="15"/>
      <c r="AP152" s="7"/>
      <c r="AQ152" s="7"/>
      <c r="AR152" s="7"/>
      <c r="AS152" s="7"/>
      <c r="AT152" s="7"/>
      <c r="AU152" s="7"/>
      <c r="AV152" s="7"/>
      <c r="AW152" s="7"/>
      <c r="AX152" s="7"/>
      <c r="AY152" s="7"/>
      <c r="AZ152" s="8"/>
      <c r="BA152" s="1"/>
      <c r="BB152" s="7"/>
      <c r="BC152" s="9" t="s">
        <v>153</v>
      </c>
      <c r="BD152" s="9" t="s">
        <v>126</v>
      </c>
      <c r="BE152" s="10" t="str">
        <f t="shared" si="6"/>
        <v>subtropic</v>
      </c>
      <c r="BF152" s="11"/>
    </row>
    <row r="153" ht="42.75" spans="1:58">
      <c r="A153">
        <v>176</v>
      </c>
      <c r="B153" t="s">
        <v>911</v>
      </c>
      <c r="C153" t="s">
        <v>914</v>
      </c>
      <c r="D153">
        <v>2005</v>
      </c>
      <c r="E153" s="12" t="s">
        <v>915</v>
      </c>
      <c r="F153" t="s">
        <v>276</v>
      </c>
      <c r="G153">
        <v>40.7934</v>
      </c>
      <c r="H153">
        <v>-77.86</v>
      </c>
      <c r="I153">
        <v>25</v>
      </c>
      <c r="J153" t="s">
        <v>216</v>
      </c>
      <c r="K153" t="s">
        <v>182</v>
      </c>
      <c r="L153" t="s">
        <v>183</v>
      </c>
      <c r="M153" t="s">
        <v>916</v>
      </c>
      <c r="N153" t="s">
        <v>267</v>
      </c>
      <c r="O153" t="s">
        <v>340</v>
      </c>
      <c r="P153" t="s">
        <v>495</v>
      </c>
      <c r="Q153" t="s">
        <v>74</v>
      </c>
      <c r="R153" t="s">
        <v>75</v>
      </c>
      <c r="S153" s="1" t="s">
        <v>284</v>
      </c>
      <c r="T153" s="1" t="s">
        <v>284</v>
      </c>
      <c r="U153" s="1" t="s">
        <v>281</v>
      </c>
      <c r="V153" s="1" t="s">
        <v>390</v>
      </c>
      <c r="W153" s="13">
        <v>27.7</v>
      </c>
      <c r="X153" s="13" t="s">
        <v>79</v>
      </c>
      <c r="Y153" s="13" t="s">
        <v>80</v>
      </c>
      <c r="Z153" s="3">
        <v>3</v>
      </c>
      <c r="AA153" s="3">
        <v>14</v>
      </c>
      <c r="AB153" s="3">
        <v>1.347</v>
      </c>
      <c r="AC153" s="4">
        <v>1.61</v>
      </c>
      <c r="AD153" s="3">
        <v>18</v>
      </c>
      <c r="AE153" s="3">
        <v>1.358</v>
      </c>
      <c r="AF153" s="5"/>
      <c r="AG153" s="14"/>
      <c r="AH153" s="14"/>
      <c r="AI153" s="14"/>
      <c r="AJ153" s="14"/>
      <c r="AK153" s="14"/>
      <c r="AL153" s="14"/>
      <c r="AM153" s="7"/>
      <c r="AN153" s="15"/>
      <c r="AO153" s="15"/>
      <c r="AP153" s="7"/>
      <c r="AQ153" s="7"/>
      <c r="AR153" s="7"/>
      <c r="AS153" s="7"/>
      <c r="AT153" s="7"/>
      <c r="AU153" s="7"/>
      <c r="AV153" s="7"/>
      <c r="AW153" s="7"/>
      <c r="AX153" s="7"/>
      <c r="AY153" s="7"/>
      <c r="AZ153" s="8"/>
      <c r="BA153" s="1"/>
      <c r="BB153" s="7"/>
      <c r="BC153" s="9" t="s">
        <v>82</v>
      </c>
      <c r="BD153" s="9" t="s">
        <v>82</v>
      </c>
      <c r="BE153" s="10" t="str">
        <f t="shared" si="6"/>
        <v>temperate</v>
      </c>
      <c r="BF153" s="11"/>
    </row>
    <row r="154" ht="42.75" spans="1:58">
      <c r="A154">
        <v>177</v>
      </c>
      <c r="B154" t="s">
        <v>917</v>
      </c>
      <c r="C154" t="s">
        <v>920</v>
      </c>
      <c r="D154">
        <v>2005</v>
      </c>
      <c r="E154" t="s">
        <v>921</v>
      </c>
      <c r="F154" t="s">
        <v>276</v>
      </c>
      <c r="G154">
        <v>40.41</v>
      </c>
      <c r="H154">
        <v>-105.11</v>
      </c>
      <c r="I154">
        <v>7</v>
      </c>
      <c r="J154" t="s">
        <v>494</v>
      </c>
      <c r="K154" t="s">
        <v>182</v>
      </c>
      <c r="L154" t="s">
        <v>183</v>
      </c>
      <c r="M154" t="s">
        <v>72</v>
      </c>
      <c r="N154" t="s">
        <v>72</v>
      </c>
      <c r="O154" t="s">
        <v>72</v>
      </c>
      <c r="P154" t="s">
        <v>73</v>
      </c>
      <c r="Q154" t="s">
        <v>74</v>
      </c>
      <c r="R154" t="s">
        <v>75</v>
      </c>
      <c r="S154" s="1" t="s">
        <v>172</v>
      </c>
      <c r="T154" s="1" t="s">
        <v>172</v>
      </c>
      <c r="U154" s="1" t="s">
        <v>172</v>
      </c>
      <c r="V154" s="1" t="s">
        <v>173</v>
      </c>
      <c r="W154" s="13">
        <v>15</v>
      </c>
      <c r="X154" s="13" t="s">
        <v>79</v>
      </c>
      <c r="Y154" s="13" t="s">
        <v>80</v>
      </c>
      <c r="Z154" s="3">
        <v>23.9</v>
      </c>
      <c r="AA154" s="3">
        <v>3</v>
      </c>
      <c r="AB154" s="3">
        <v>12</v>
      </c>
      <c r="AC154" s="4">
        <v>17.1</v>
      </c>
      <c r="AD154" s="3">
        <v>3</v>
      </c>
      <c r="AE154" s="3">
        <v>4.55</v>
      </c>
      <c r="AF154" s="5"/>
      <c r="AG154" s="14"/>
      <c r="AH154" s="14"/>
      <c r="AI154" s="14"/>
      <c r="AJ154" s="14"/>
      <c r="AK154" s="14"/>
      <c r="AL154" s="14"/>
      <c r="AM154" s="7"/>
      <c r="AN154" s="15"/>
      <c r="AO154" s="15"/>
      <c r="AP154" s="7"/>
      <c r="AQ154" s="7"/>
      <c r="AR154" s="7"/>
      <c r="AS154" s="7"/>
      <c r="AT154" s="7"/>
      <c r="AU154" s="7"/>
      <c r="AV154" s="7"/>
      <c r="AW154" s="7"/>
      <c r="AX154" s="7"/>
      <c r="AY154" s="7"/>
      <c r="AZ154" s="8"/>
      <c r="BA154" s="1"/>
      <c r="BB154" s="7"/>
      <c r="BC154" s="9" t="s">
        <v>82</v>
      </c>
      <c r="BD154" s="9" t="s">
        <v>82</v>
      </c>
      <c r="BE154" s="10" t="str">
        <f t="shared" si="6"/>
        <v>temperate</v>
      </c>
      <c r="BF154" s="11"/>
    </row>
    <row r="155" ht="28.5" spans="1:58">
      <c r="A155">
        <v>178</v>
      </c>
      <c r="B155" t="s">
        <v>922</v>
      </c>
      <c r="C155" t="s">
        <v>925</v>
      </c>
      <c r="D155">
        <v>2002</v>
      </c>
      <c r="E155" t="s">
        <v>921</v>
      </c>
      <c r="F155" t="s">
        <v>926</v>
      </c>
      <c r="G155" s="1">
        <v>58.36</v>
      </c>
      <c r="H155" s="1">
        <v>15.7</v>
      </c>
      <c r="I155">
        <v>26</v>
      </c>
      <c r="J155" t="s">
        <v>181</v>
      </c>
      <c r="K155" s="1" t="s">
        <v>182</v>
      </c>
      <c r="L155" t="s">
        <v>183</v>
      </c>
      <c r="M155" t="s">
        <v>927</v>
      </c>
      <c r="N155" t="s">
        <v>278</v>
      </c>
      <c r="O155" t="s">
        <v>340</v>
      </c>
      <c r="P155" t="s">
        <v>495</v>
      </c>
      <c r="Q155" t="s">
        <v>74</v>
      </c>
      <c r="R155" t="s">
        <v>75</v>
      </c>
      <c r="S155" s="1" t="s">
        <v>531</v>
      </c>
      <c r="T155" s="1" t="s">
        <v>172</v>
      </c>
      <c r="U155" s="1" t="s">
        <v>324</v>
      </c>
      <c r="V155" s="1" t="s">
        <v>325</v>
      </c>
      <c r="W155" s="13">
        <v>13.1</v>
      </c>
      <c r="X155" s="13" t="s">
        <v>79</v>
      </c>
      <c r="Y155" s="13" t="s">
        <v>80</v>
      </c>
      <c r="Z155" s="3">
        <v>13</v>
      </c>
      <c r="AA155" s="3">
        <v>4</v>
      </c>
      <c r="AB155" s="3">
        <v>12.19</v>
      </c>
      <c r="AC155" s="4">
        <v>12.25</v>
      </c>
      <c r="AD155" s="3">
        <v>4</v>
      </c>
      <c r="AE155" s="3">
        <v>6.4</v>
      </c>
      <c r="AF155" s="5"/>
      <c r="AG155" s="14"/>
      <c r="AH155" s="14"/>
      <c r="AI155" s="14"/>
      <c r="AJ155" s="14"/>
      <c r="AK155" s="14"/>
      <c r="AL155" s="14"/>
      <c r="AM155" s="7"/>
      <c r="AN155" s="15"/>
      <c r="AO155" s="15"/>
      <c r="AP155" s="7"/>
      <c r="AQ155" s="7"/>
      <c r="AR155" s="7"/>
      <c r="AS155" s="7"/>
      <c r="AT155" s="7"/>
      <c r="AU155" s="7"/>
      <c r="AV155" s="7"/>
      <c r="AW155" s="7"/>
      <c r="AX155" s="7"/>
      <c r="AY155" s="7"/>
      <c r="AZ155" s="8"/>
      <c r="BA155" s="1"/>
      <c r="BB155" s="7"/>
      <c r="BC155" s="9" t="s">
        <v>82</v>
      </c>
      <c r="BD155" s="9" t="s">
        <v>82</v>
      </c>
      <c r="BE155" s="10" t="str">
        <f t="shared" si="6"/>
        <v>temperate</v>
      </c>
      <c r="BF155" s="11"/>
    </row>
    <row r="156" ht="85.5" spans="1:58">
      <c r="A156">
        <v>179</v>
      </c>
      <c r="B156" t="s">
        <v>928</v>
      </c>
      <c r="C156" t="s">
        <v>931</v>
      </c>
      <c r="D156">
        <v>2025</v>
      </c>
      <c r="E156" s="26" t="s">
        <v>932</v>
      </c>
      <c r="F156" t="s">
        <v>522</v>
      </c>
      <c r="G156">
        <v>-33</v>
      </c>
      <c r="H156">
        <v>-71.5</v>
      </c>
      <c r="I156">
        <v>9</v>
      </c>
      <c r="J156" t="s">
        <v>171</v>
      </c>
      <c r="K156" t="s">
        <v>182</v>
      </c>
      <c r="L156" t="s">
        <v>146</v>
      </c>
      <c r="M156" t="s">
        <v>112</v>
      </c>
      <c r="N156" t="s">
        <v>113</v>
      </c>
      <c r="O156" t="s">
        <v>114</v>
      </c>
      <c r="P156" t="s">
        <v>115</v>
      </c>
      <c r="Q156" t="s">
        <v>116</v>
      </c>
      <c r="R156" t="s">
        <v>75</v>
      </c>
      <c r="S156" s="1" t="s">
        <v>76</v>
      </c>
      <c r="T156" s="1" t="s">
        <v>76</v>
      </c>
      <c r="U156" s="1" t="s">
        <v>76</v>
      </c>
      <c r="V156" s="1" t="s">
        <v>78</v>
      </c>
      <c r="W156" s="13">
        <v>160.6</v>
      </c>
      <c r="X156" s="13" t="s">
        <v>174</v>
      </c>
      <c r="Y156" s="13" t="s">
        <v>94</v>
      </c>
      <c r="Z156" s="3">
        <v>85</v>
      </c>
      <c r="AA156" s="3">
        <v>4</v>
      </c>
      <c r="AB156" s="3">
        <v>17.77</v>
      </c>
      <c r="AC156" s="4">
        <v>64.75</v>
      </c>
      <c r="AD156" s="3">
        <v>4</v>
      </c>
      <c r="AE156" s="3">
        <v>18.38</v>
      </c>
      <c r="AF156" s="5"/>
      <c r="AG156" s="14"/>
      <c r="AH156" s="14"/>
      <c r="AI156" s="14"/>
      <c r="AJ156" s="14"/>
      <c r="AK156" s="14"/>
      <c r="AL156" s="14"/>
      <c r="AM156" s="7"/>
      <c r="AN156" s="15"/>
      <c r="AO156" s="15"/>
      <c r="AP156" s="7"/>
      <c r="AQ156" s="7"/>
      <c r="AR156" s="7"/>
      <c r="AS156" s="7"/>
      <c r="AT156" s="7"/>
      <c r="AU156" s="7"/>
      <c r="AV156" s="7"/>
      <c r="AW156" s="7"/>
      <c r="AX156" s="7"/>
      <c r="AY156" s="7"/>
      <c r="AZ156" s="8"/>
      <c r="BA156" s="1"/>
      <c r="BB156" s="7"/>
      <c r="BC156" s="9" t="s">
        <v>209</v>
      </c>
      <c r="BD156" s="9" t="s">
        <v>126</v>
      </c>
      <c r="BE156" s="10" t="str">
        <f t="shared" si="6"/>
        <v>subtropic</v>
      </c>
      <c r="BF156" s="11"/>
    </row>
    <row r="157" ht="42.75" spans="1:58">
      <c r="A157">
        <v>180</v>
      </c>
      <c r="B157" t="s">
        <v>933</v>
      </c>
      <c r="C157" t="s">
        <v>936</v>
      </c>
      <c r="D157">
        <v>2025</v>
      </c>
      <c r="E157" s="26" t="s">
        <v>937</v>
      </c>
      <c r="F157" t="s">
        <v>938</v>
      </c>
      <c r="G157">
        <v>38.5</v>
      </c>
      <c r="H157">
        <v>26.91</v>
      </c>
      <c r="I157">
        <v>8</v>
      </c>
      <c r="J157" t="s">
        <v>891</v>
      </c>
      <c r="K157" t="s">
        <v>70</v>
      </c>
      <c r="L157" t="s">
        <v>776</v>
      </c>
      <c r="M157" t="s">
        <v>939</v>
      </c>
      <c r="N157" t="s">
        <v>227</v>
      </c>
      <c r="O157" t="s">
        <v>227</v>
      </c>
      <c r="P157" t="s">
        <v>227</v>
      </c>
      <c r="Q157" t="s">
        <v>939</v>
      </c>
      <c r="R157" t="s">
        <v>75</v>
      </c>
      <c r="S157" s="1" t="s">
        <v>76</v>
      </c>
      <c r="T157" s="1" t="s">
        <v>76</v>
      </c>
      <c r="U157" s="1" t="s">
        <v>76</v>
      </c>
      <c r="V157" s="1" t="s">
        <v>78</v>
      </c>
      <c r="W157" s="13">
        <v>30.7</v>
      </c>
      <c r="X157" s="13" t="s">
        <v>79</v>
      </c>
      <c r="Y157" s="13" t="s">
        <v>80</v>
      </c>
      <c r="Z157" s="3">
        <v>10.01</v>
      </c>
      <c r="AA157" s="3">
        <v>10</v>
      </c>
      <c r="AB157" s="3">
        <v>3.514</v>
      </c>
      <c r="AC157" s="4">
        <v>9</v>
      </c>
      <c r="AD157" s="3">
        <v>10</v>
      </c>
      <c r="AE157" s="3">
        <v>3.496</v>
      </c>
      <c r="AF157" s="5" t="s">
        <v>81</v>
      </c>
      <c r="AG157" s="14">
        <v>0.608</v>
      </c>
      <c r="AH157" s="14">
        <v>10</v>
      </c>
      <c r="AI157" s="14">
        <v>0.383</v>
      </c>
      <c r="AJ157" s="14">
        <v>0.779</v>
      </c>
      <c r="AK157" s="14">
        <v>10</v>
      </c>
      <c r="AL157" s="14">
        <v>0.136</v>
      </c>
      <c r="AM157" s="7"/>
      <c r="AN157" s="15"/>
      <c r="AO157" s="15"/>
      <c r="AP157" s="7"/>
      <c r="AQ157" s="7"/>
      <c r="AR157" s="7"/>
      <c r="AS157" s="7"/>
      <c r="AT157" s="7"/>
      <c r="AU157" s="7"/>
      <c r="AV157" s="7"/>
      <c r="AW157" s="7"/>
      <c r="AX157" s="7"/>
      <c r="AY157" s="7"/>
      <c r="AZ157" s="8"/>
      <c r="BA157" s="1"/>
      <c r="BB157" s="7"/>
      <c r="BC157" s="9" t="s">
        <v>940</v>
      </c>
      <c r="BD157" s="9" t="s">
        <v>126</v>
      </c>
      <c r="BE157" s="10" t="str">
        <f t="shared" si="6"/>
        <v>subtropic</v>
      </c>
      <c r="BF157" s="11"/>
    </row>
    <row r="158" ht="42.75" spans="1:58">
      <c r="A158">
        <v>181</v>
      </c>
      <c r="B158" t="s">
        <v>933</v>
      </c>
      <c r="C158" t="s">
        <v>936</v>
      </c>
      <c r="D158">
        <v>2025</v>
      </c>
      <c r="E158" s="26" t="s">
        <v>937</v>
      </c>
      <c r="F158" t="s">
        <v>938</v>
      </c>
      <c r="G158">
        <v>38.5</v>
      </c>
      <c r="H158">
        <v>26.91</v>
      </c>
      <c r="I158">
        <v>8</v>
      </c>
      <c r="J158" t="s">
        <v>891</v>
      </c>
      <c r="K158" t="s">
        <v>70</v>
      </c>
      <c r="L158" t="s">
        <v>776</v>
      </c>
      <c r="M158" t="s">
        <v>939</v>
      </c>
      <c r="N158" t="s">
        <v>227</v>
      </c>
      <c r="O158" t="s">
        <v>227</v>
      </c>
      <c r="P158" t="s">
        <v>227</v>
      </c>
      <c r="Q158" t="s">
        <v>939</v>
      </c>
      <c r="R158" t="s">
        <v>75</v>
      </c>
      <c r="S158" s="1" t="s">
        <v>941</v>
      </c>
      <c r="T158" s="1" t="s">
        <v>227</v>
      </c>
      <c r="U158" s="1" t="s">
        <v>281</v>
      </c>
      <c r="V158" s="1" t="s">
        <v>390</v>
      </c>
      <c r="W158" s="13">
        <v>30.7</v>
      </c>
      <c r="X158" s="13" t="s">
        <v>79</v>
      </c>
      <c r="Y158" s="13" t="s">
        <v>80</v>
      </c>
      <c r="Z158" s="3">
        <v>1.4</v>
      </c>
      <c r="AA158" s="3">
        <v>10</v>
      </c>
      <c r="AB158" s="3">
        <v>0.699</v>
      </c>
      <c r="AC158" s="4">
        <v>0.7</v>
      </c>
      <c r="AD158" s="3">
        <v>10</v>
      </c>
      <c r="AE158" s="3">
        <v>0.419</v>
      </c>
      <c r="AF158" s="5"/>
      <c r="AG158" s="14"/>
      <c r="AH158" s="14"/>
      <c r="AI158" s="14"/>
      <c r="AJ158" s="14"/>
      <c r="AK158" s="14"/>
      <c r="AL158" s="14"/>
      <c r="AM158" s="7"/>
      <c r="AN158" s="15"/>
      <c r="AO158" s="15"/>
      <c r="AP158" s="7"/>
      <c r="AQ158" s="7"/>
      <c r="AR158" s="7"/>
      <c r="AS158" s="7"/>
      <c r="AT158" s="7"/>
      <c r="AU158" s="7"/>
      <c r="AV158" s="7"/>
      <c r="AW158" s="7"/>
      <c r="AX158" s="7"/>
      <c r="AY158" s="7"/>
      <c r="AZ158" s="8"/>
      <c r="BA158" s="1"/>
      <c r="BB158" s="7"/>
      <c r="BC158" s="9" t="s">
        <v>940</v>
      </c>
      <c r="BD158" s="9" t="s">
        <v>126</v>
      </c>
      <c r="BE158" s="10" t="str">
        <f t="shared" si="6"/>
        <v>subtropic</v>
      </c>
      <c r="BF158" s="11"/>
    </row>
    <row r="159" ht="42.75" spans="1:58">
      <c r="A159">
        <v>182</v>
      </c>
      <c r="B159" t="s">
        <v>942</v>
      </c>
      <c r="C159" t="s">
        <v>945</v>
      </c>
      <c r="D159">
        <v>2025</v>
      </c>
      <c r="E159" s="26" t="s">
        <v>946</v>
      </c>
      <c r="F159" t="s">
        <v>68</v>
      </c>
      <c r="G159">
        <v>23.8</v>
      </c>
      <c r="H159">
        <v>114</v>
      </c>
      <c r="I159">
        <v>11</v>
      </c>
      <c r="J159" t="s">
        <v>111</v>
      </c>
      <c r="K159" t="s">
        <v>70</v>
      </c>
      <c r="L159" t="s">
        <v>71</v>
      </c>
      <c r="M159" t="s">
        <v>72</v>
      </c>
      <c r="N159" t="s">
        <v>72</v>
      </c>
      <c r="O159" t="s">
        <v>72</v>
      </c>
      <c r="P159" t="s">
        <v>73</v>
      </c>
      <c r="Q159" t="s">
        <v>74</v>
      </c>
      <c r="R159" t="s">
        <v>90</v>
      </c>
      <c r="S159" s="1" t="s">
        <v>342</v>
      </c>
      <c r="T159" s="1" t="s">
        <v>240</v>
      </c>
      <c r="U159" s="1" t="s">
        <v>241</v>
      </c>
      <c r="V159" s="1" t="s">
        <v>241</v>
      </c>
      <c r="W159" s="13">
        <v>74</v>
      </c>
      <c r="X159" s="13" t="s">
        <v>119</v>
      </c>
      <c r="Y159" s="13" t="s">
        <v>80</v>
      </c>
      <c r="Z159" s="3"/>
      <c r="AA159" s="3"/>
      <c r="AB159" s="3"/>
      <c r="AC159" s="4"/>
      <c r="AD159" s="3"/>
      <c r="AE159" s="3"/>
      <c r="AF159" s="5" t="s">
        <v>81</v>
      </c>
      <c r="AG159" s="14">
        <v>4.863</v>
      </c>
      <c r="AH159" s="14">
        <v>6</v>
      </c>
      <c r="AI159" s="14">
        <v>0.345</v>
      </c>
      <c r="AJ159" s="14">
        <v>5.022</v>
      </c>
      <c r="AK159" s="14">
        <v>17</v>
      </c>
      <c r="AL159" s="14">
        <v>0.364</v>
      </c>
      <c r="AM159" s="7">
        <v>35</v>
      </c>
      <c r="AN159" s="15" t="s">
        <v>947</v>
      </c>
      <c r="AO159" s="15" t="s">
        <v>948</v>
      </c>
      <c r="AP159" s="7" t="s">
        <v>97</v>
      </c>
      <c r="AQ159" s="7">
        <v>0.062076</v>
      </c>
      <c r="AR159" s="7">
        <v>105</v>
      </c>
      <c r="AS159" s="7">
        <v>0.029508</v>
      </c>
      <c r="AT159" s="7">
        <v>0.100682</v>
      </c>
      <c r="AU159" s="7">
        <v>10</v>
      </c>
      <c r="AV159" s="7">
        <v>0.052373</v>
      </c>
      <c r="AW159" s="7">
        <v>0.084882</v>
      </c>
      <c r="AX159" s="7">
        <v>75</v>
      </c>
      <c r="AY159" s="7">
        <v>0.043926</v>
      </c>
      <c r="AZ159" s="8" t="s">
        <v>123</v>
      </c>
      <c r="BA159" s="1"/>
      <c r="BB159" s="7"/>
      <c r="BC159" s="9" t="s">
        <v>82</v>
      </c>
      <c r="BD159" s="9" t="s">
        <v>82</v>
      </c>
      <c r="BE159" s="10" t="str">
        <f t="shared" si="6"/>
        <v>subtropic</v>
      </c>
      <c r="BF159" s="11"/>
    </row>
    <row r="160" ht="28.5" spans="1:58">
      <c r="A160">
        <v>183</v>
      </c>
      <c r="B160" t="s">
        <v>942</v>
      </c>
      <c r="C160" t="s">
        <v>945</v>
      </c>
      <c r="D160">
        <v>2025</v>
      </c>
      <c r="E160" s="26" t="s">
        <v>946</v>
      </c>
      <c r="F160" t="s">
        <v>68</v>
      </c>
      <c r="G160">
        <v>23.8</v>
      </c>
      <c r="H160">
        <v>114</v>
      </c>
      <c r="I160">
        <v>11</v>
      </c>
      <c r="J160" t="s">
        <v>111</v>
      </c>
      <c r="K160" t="s">
        <v>70</v>
      </c>
      <c r="L160" t="s">
        <v>71</v>
      </c>
      <c r="M160" t="s">
        <v>72</v>
      </c>
      <c r="N160" t="s">
        <v>72</v>
      </c>
      <c r="O160" t="s">
        <v>72</v>
      </c>
      <c r="P160" t="s">
        <v>73</v>
      </c>
      <c r="Q160" t="s">
        <v>74</v>
      </c>
      <c r="R160" t="s">
        <v>75</v>
      </c>
      <c r="S160" s="1" t="s">
        <v>344</v>
      </c>
      <c r="T160" s="1" t="s">
        <v>344</v>
      </c>
      <c r="U160" s="1" t="s">
        <v>344</v>
      </c>
      <c r="V160" s="1" t="s">
        <v>344</v>
      </c>
      <c r="W160" s="13">
        <v>74</v>
      </c>
      <c r="X160" s="13" t="s">
        <v>119</v>
      </c>
      <c r="Y160" s="13" t="s">
        <v>80</v>
      </c>
      <c r="Z160" s="3"/>
      <c r="AA160" s="3"/>
      <c r="AB160" s="3"/>
      <c r="AC160" s="4"/>
      <c r="AD160" s="3"/>
      <c r="AE160" s="3"/>
      <c r="AF160" s="5" t="s">
        <v>81</v>
      </c>
      <c r="AG160" s="14">
        <v>3.988</v>
      </c>
      <c r="AH160" s="14">
        <v>6</v>
      </c>
      <c r="AI160" s="14">
        <v>0.259</v>
      </c>
      <c r="AJ160" s="14">
        <v>4.054</v>
      </c>
      <c r="AK160" s="14">
        <v>17</v>
      </c>
      <c r="AL160" s="14">
        <v>1.355</v>
      </c>
      <c r="AM160" s="7">
        <v>36</v>
      </c>
      <c r="AN160" s="15" t="s">
        <v>947</v>
      </c>
      <c r="AO160" s="15" t="s">
        <v>948</v>
      </c>
      <c r="AP160" s="7" t="s">
        <v>97</v>
      </c>
      <c r="AQ160" s="7">
        <v>0.372485</v>
      </c>
      <c r="AR160" s="7">
        <v>105</v>
      </c>
      <c r="AS160" s="7">
        <v>0.255587</v>
      </c>
      <c r="AT160" s="7">
        <v>0.326183</v>
      </c>
      <c r="AU160" s="7">
        <v>10</v>
      </c>
      <c r="AV160" s="7">
        <v>0.222609</v>
      </c>
      <c r="AW160" s="7">
        <v>0.326923</v>
      </c>
      <c r="AX160" s="7">
        <v>75</v>
      </c>
      <c r="AY160" s="7">
        <v>0.223694</v>
      </c>
      <c r="AZ160" s="8" t="s">
        <v>123</v>
      </c>
      <c r="BA160" s="1"/>
      <c r="BB160" s="7"/>
      <c r="BC160" s="9" t="s">
        <v>82</v>
      </c>
      <c r="BD160" s="9" t="s">
        <v>82</v>
      </c>
      <c r="BE160" s="10" t="str">
        <f t="shared" si="6"/>
        <v>subtropic</v>
      </c>
      <c r="BF160" s="11"/>
    </row>
    <row r="161" spans="1:58">
      <c r="A161">
        <v>186</v>
      </c>
      <c r="B161" t="s">
        <v>951</v>
      </c>
      <c r="C161" t="s">
        <v>954</v>
      </c>
      <c r="D161">
        <v>2025</v>
      </c>
      <c r="E161" s="12" t="s">
        <v>955</v>
      </c>
      <c r="F161" t="s">
        <v>68</v>
      </c>
      <c r="G161">
        <v>32</v>
      </c>
      <c r="H161">
        <v>118.78</v>
      </c>
      <c r="I161">
        <v>14</v>
      </c>
      <c r="J161" t="s">
        <v>89</v>
      </c>
      <c r="K161" t="s">
        <v>70</v>
      </c>
      <c r="L161" t="s">
        <v>71</v>
      </c>
      <c r="M161" t="s">
        <v>72</v>
      </c>
      <c r="N161" t="s">
        <v>72</v>
      </c>
      <c r="O161" t="s">
        <v>72</v>
      </c>
      <c r="P161" t="s">
        <v>73</v>
      </c>
      <c r="Q161" t="s">
        <v>74</v>
      </c>
      <c r="R161" t="s">
        <v>75</v>
      </c>
      <c r="S161" s="1" t="s">
        <v>76</v>
      </c>
      <c r="T161" s="1" t="s">
        <v>76</v>
      </c>
      <c r="U161" s="1" t="s">
        <v>76</v>
      </c>
      <c r="V161" s="1" t="s">
        <v>78</v>
      </c>
      <c r="W161" s="13">
        <v>39.4</v>
      </c>
      <c r="X161" s="13" t="s">
        <v>79</v>
      </c>
      <c r="Y161" s="13" t="s">
        <v>80</v>
      </c>
      <c r="Z161" s="3">
        <v>19.25</v>
      </c>
      <c r="AA161" s="3">
        <v>4</v>
      </c>
      <c r="AB161" s="3">
        <v>16.276</v>
      </c>
      <c r="AC161" s="4">
        <v>4.25</v>
      </c>
      <c r="AD161" s="3">
        <v>4</v>
      </c>
      <c r="AE161" s="3">
        <v>1.258</v>
      </c>
      <c r="AF161" s="5"/>
      <c r="AG161" s="14"/>
      <c r="AH161" s="14"/>
      <c r="AI161" s="14"/>
      <c r="AJ161" s="14"/>
      <c r="AK161" s="14"/>
      <c r="AL161" s="14"/>
      <c r="AM161" s="7"/>
      <c r="AN161" s="15"/>
      <c r="AO161" s="15"/>
      <c r="AP161" s="7"/>
      <c r="AQ161" s="7"/>
      <c r="AR161" s="7"/>
      <c r="AS161" s="7"/>
      <c r="AT161" s="7"/>
      <c r="AU161" s="7"/>
      <c r="AV161" s="7"/>
      <c r="AW161" s="7"/>
      <c r="AX161" s="7"/>
      <c r="AY161" s="7"/>
      <c r="AZ161" s="8"/>
      <c r="BA161" s="1"/>
      <c r="BB161" s="7"/>
      <c r="BC161" s="9" t="s">
        <v>82</v>
      </c>
      <c r="BD161" s="9" t="s">
        <v>82</v>
      </c>
      <c r="BE161" s="10" t="str">
        <f t="shared" si="6"/>
        <v>subtropic</v>
      </c>
      <c r="BF161" s="11"/>
    </row>
    <row r="162" ht="42.75" spans="1:58">
      <c r="A162">
        <v>187</v>
      </c>
      <c r="B162" t="s">
        <v>956</v>
      </c>
      <c r="C162" t="s">
        <v>959</v>
      </c>
      <c r="D162">
        <v>2025</v>
      </c>
      <c r="E162" s="26" t="s">
        <v>960</v>
      </c>
      <c r="F162" t="s">
        <v>68</v>
      </c>
      <c r="G162">
        <v>36</v>
      </c>
      <c r="H162">
        <v>110</v>
      </c>
      <c r="I162">
        <v>11</v>
      </c>
      <c r="J162" t="s">
        <v>111</v>
      </c>
      <c r="K162" t="s">
        <v>70</v>
      </c>
      <c r="L162" t="s">
        <v>71</v>
      </c>
      <c r="M162" t="s">
        <v>72</v>
      </c>
      <c r="N162" t="s">
        <v>72</v>
      </c>
      <c r="O162" t="s">
        <v>72</v>
      </c>
      <c r="P162" t="s">
        <v>73</v>
      </c>
      <c r="Q162" t="s">
        <v>74</v>
      </c>
      <c r="R162" t="s">
        <v>75</v>
      </c>
      <c r="S162" s="1" t="s">
        <v>172</v>
      </c>
      <c r="T162" s="1" t="s">
        <v>172</v>
      </c>
      <c r="U162" s="1" t="s">
        <v>172</v>
      </c>
      <c r="V162" s="1" t="s">
        <v>173</v>
      </c>
      <c r="W162" s="13">
        <v>798.7</v>
      </c>
      <c r="X162" s="13" t="s">
        <v>93</v>
      </c>
      <c r="Y162" s="13" t="s">
        <v>94</v>
      </c>
      <c r="Z162" s="3">
        <v>13.024</v>
      </c>
      <c r="AA162" s="3">
        <v>6</v>
      </c>
      <c r="AB162" s="3">
        <v>4.04</v>
      </c>
      <c r="AC162" s="4">
        <v>6.692</v>
      </c>
      <c r="AD162" s="3">
        <v>12</v>
      </c>
      <c r="AE162" s="3">
        <v>2.483</v>
      </c>
      <c r="AF162" s="5" t="s">
        <v>81</v>
      </c>
      <c r="AG162" s="14">
        <v>3.956</v>
      </c>
      <c r="AH162" s="14">
        <v>6</v>
      </c>
      <c r="AI162" s="14">
        <v>2.02</v>
      </c>
      <c r="AJ162" s="14">
        <v>1.855</v>
      </c>
      <c r="AK162" s="14">
        <v>12</v>
      </c>
      <c r="AL162" s="14">
        <v>0.845</v>
      </c>
      <c r="AM162" s="7">
        <v>37</v>
      </c>
      <c r="AN162" s="15" t="s">
        <v>624</v>
      </c>
      <c r="AO162" s="15" t="s">
        <v>961</v>
      </c>
      <c r="AP162" s="7" t="s">
        <v>97</v>
      </c>
      <c r="AQ162" s="7">
        <v>0.348537</v>
      </c>
      <c r="AR162" s="7">
        <v>66</v>
      </c>
      <c r="AS162" s="7">
        <v>0.151614</v>
      </c>
      <c r="AT162" s="7">
        <v>0.411863</v>
      </c>
      <c r="AU162" s="7">
        <v>15</v>
      </c>
      <c r="AV162" s="7">
        <v>0.25659</v>
      </c>
      <c r="AW162" s="7">
        <v>0.464258</v>
      </c>
      <c r="AX162" s="7">
        <v>72</v>
      </c>
      <c r="AY162" s="7">
        <v>0.214182</v>
      </c>
      <c r="AZ162" s="8"/>
      <c r="BA162" s="1"/>
      <c r="BB162" s="7"/>
      <c r="BC162" s="9" t="s">
        <v>82</v>
      </c>
      <c r="BD162" s="9" t="s">
        <v>82</v>
      </c>
      <c r="BE162" s="10" t="str">
        <f t="shared" si="6"/>
        <v>subtropic</v>
      </c>
      <c r="BF162" s="11" t="s">
        <v>1028</v>
      </c>
    </row>
    <row r="163" ht="42.75" spans="1:58">
      <c r="A163">
        <v>188</v>
      </c>
      <c r="B163" t="s">
        <v>962</v>
      </c>
      <c r="D163">
        <v>2025</v>
      </c>
      <c r="E163" s="26" t="s">
        <v>965</v>
      </c>
      <c r="F163" t="s">
        <v>180</v>
      </c>
      <c r="G163">
        <v>47.9916</v>
      </c>
      <c r="H163">
        <v>17.6206</v>
      </c>
      <c r="I163">
        <v>26</v>
      </c>
      <c r="J163" t="s">
        <v>181</v>
      </c>
      <c r="K163" t="s">
        <v>182</v>
      </c>
      <c r="L163" t="s">
        <v>183</v>
      </c>
      <c r="M163" t="s">
        <v>277</v>
      </c>
      <c r="N163" t="s">
        <v>278</v>
      </c>
      <c r="O163" t="s">
        <v>277</v>
      </c>
      <c r="P163" t="s">
        <v>279</v>
      </c>
      <c r="Q163" t="s">
        <v>280</v>
      </c>
      <c r="R163" t="s">
        <v>75</v>
      </c>
      <c r="S163" s="1" t="s">
        <v>618</v>
      </c>
      <c r="T163" s="1" t="s">
        <v>172</v>
      </c>
      <c r="U163" s="1" t="s">
        <v>172</v>
      </c>
      <c r="V163" s="1" t="s">
        <v>173</v>
      </c>
      <c r="W163" s="13">
        <v>368</v>
      </c>
      <c r="X163" s="13" t="s">
        <v>93</v>
      </c>
      <c r="Y163" s="13" t="s">
        <v>94</v>
      </c>
      <c r="Z163" s="3">
        <v>4.162</v>
      </c>
      <c r="AA163" s="3">
        <v>20</v>
      </c>
      <c r="AB163" s="3">
        <v>2.522</v>
      </c>
      <c r="AC163" s="4">
        <v>3.722</v>
      </c>
      <c r="AD163" s="3">
        <v>16</v>
      </c>
      <c r="AE163" s="3">
        <v>2.14</v>
      </c>
      <c r="AF163" s="5"/>
      <c r="AG163" s="14"/>
      <c r="AH163" s="14"/>
      <c r="AI163" s="14"/>
      <c r="AJ163" s="14"/>
      <c r="AK163" s="14"/>
      <c r="AL163" s="14"/>
      <c r="AM163" s="7"/>
      <c r="AN163" s="15"/>
      <c r="AO163" s="15"/>
      <c r="AP163" s="7"/>
      <c r="AQ163" s="7"/>
      <c r="AR163" s="7"/>
      <c r="AS163" s="7"/>
      <c r="AT163" s="7"/>
      <c r="AU163" s="7"/>
      <c r="AV163" s="7"/>
      <c r="AW163" s="7"/>
      <c r="AX163" s="7"/>
      <c r="AY163" s="7"/>
      <c r="AZ163" s="8"/>
      <c r="BA163" s="1"/>
      <c r="BB163" s="7"/>
      <c r="BC163" s="9" t="s">
        <v>82</v>
      </c>
      <c r="BD163" s="9" t="s">
        <v>82</v>
      </c>
      <c r="BE163" s="10" t="str">
        <f t="shared" si="6"/>
        <v>temperate</v>
      </c>
      <c r="BF163" s="11" t="s">
        <v>1030</v>
      </c>
    </row>
    <row r="164" ht="28.5" spans="1:58">
      <c r="A164">
        <v>189</v>
      </c>
      <c r="B164" t="s">
        <v>966</v>
      </c>
      <c r="C164" t="s">
        <v>969</v>
      </c>
      <c r="D164">
        <v>2025</v>
      </c>
      <c r="E164" s="12" t="s">
        <v>970</v>
      </c>
      <c r="F164" t="s">
        <v>303</v>
      </c>
      <c r="G164">
        <v>47</v>
      </c>
      <c r="H164">
        <v>20</v>
      </c>
      <c r="I164">
        <v>25</v>
      </c>
      <c r="J164" t="s">
        <v>216</v>
      </c>
      <c r="K164" t="s">
        <v>182</v>
      </c>
      <c r="L164" t="s">
        <v>183</v>
      </c>
      <c r="M164" t="s">
        <v>217</v>
      </c>
      <c r="N164" t="s">
        <v>217</v>
      </c>
      <c r="O164" t="s">
        <v>218</v>
      </c>
      <c r="P164" t="s">
        <v>219</v>
      </c>
      <c r="Q164" t="s">
        <v>74</v>
      </c>
      <c r="R164" t="s">
        <v>75</v>
      </c>
      <c r="S164" s="1" t="s">
        <v>694</v>
      </c>
      <c r="T164" s="1" t="s">
        <v>344</v>
      </c>
      <c r="U164" s="1" t="s">
        <v>344</v>
      </c>
      <c r="V164" s="1" t="s">
        <v>344</v>
      </c>
      <c r="W164" s="13">
        <v>448.6</v>
      </c>
      <c r="X164" s="13" t="s">
        <v>93</v>
      </c>
      <c r="Y164" s="13" t="s">
        <v>94</v>
      </c>
      <c r="Z164" s="3">
        <v>16.333</v>
      </c>
      <c r="AA164" s="3">
        <v>3</v>
      </c>
      <c r="AB164" s="3">
        <v>8.083</v>
      </c>
      <c r="AC164" s="4">
        <v>11.167</v>
      </c>
      <c r="AD164" s="3">
        <v>6</v>
      </c>
      <c r="AE164" s="3">
        <v>3.971</v>
      </c>
      <c r="AF164" s="5" t="s">
        <v>81</v>
      </c>
      <c r="AG164" s="14">
        <v>9.544</v>
      </c>
      <c r="AH164" s="14">
        <v>3</v>
      </c>
      <c r="AI164" s="14">
        <v>7.76</v>
      </c>
      <c r="AJ164" s="14">
        <v>5.804</v>
      </c>
      <c r="AK164" s="14">
        <v>6</v>
      </c>
      <c r="AL164" s="14">
        <v>2.48</v>
      </c>
      <c r="AM164" s="7"/>
      <c r="AN164" s="15"/>
      <c r="AO164" s="15"/>
      <c r="AP164" s="7"/>
      <c r="AQ164" s="7"/>
      <c r="AR164" s="7"/>
      <c r="AS164" s="7"/>
      <c r="AT164" s="7"/>
      <c r="AU164" s="7"/>
      <c r="AV164" s="7"/>
      <c r="AW164" s="7"/>
      <c r="AX164" s="7"/>
      <c r="AY164" s="7"/>
      <c r="AZ164" s="8"/>
      <c r="BA164" s="1"/>
      <c r="BB164" s="7"/>
      <c r="BC164" s="9" t="s">
        <v>82</v>
      </c>
      <c r="BD164" s="9" t="s">
        <v>82</v>
      </c>
      <c r="BE164" s="10" t="str">
        <f t="shared" si="6"/>
        <v>temperate</v>
      </c>
      <c r="BF164" s="11" t="s">
        <v>1028</v>
      </c>
    </row>
    <row r="165" ht="28.5" spans="1:58">
      <c r="A165">
        <v>190</v>
      </c>
      <c r="B165" t="s">
        <v>971</v>
      </c>
      <c r="C165" t="s">
        <v>974</v>
      </c>
      <c r="D165">
        <v>2025</v>
      </c>
      <c r="E165" s="12" t="s">
        <v>975</v>
      </c>
      <c r="F165" t="s">
        <v>611</v>
      </c>
      <c r="G165">
        <v>1.5</v>
      </c>
      <c r="H165">
        <v>103.86</v>
      </c>
      <c r="I165">
        <v>1</v>
      </c>
      <c r="J165" t="s">
        <v>512</v>
      </c>
      <c r="K165" t="s">
        <v>70</v>
      </c>
      <c r="L165" t="s">
        <v>71</v>
      </c>
      <c r="M165" t="s">
        <v>72</v>
      </c>
      <c r="N165" t="s">
        <v>72</v>
      </c>
      <c r="O165" t="s">
        <v>72</v>
      </c>
      <c r="P165" t="s">
        <v>73</v>
      </c>
      <c r="Q165" t="s">
        <v>74</v>
      </c>
      <c r="R165" t="s">
        <v>75</v>
      </c>
      <c r="S165" s="1" t="s">
        <v>117</v>
      </c>
      <c r="T165" s="1" t="s">
        <v>117</v>
      </c>
      <c r="U165" s="1" t="s">
        <v>117</v>
      </c>
      <c r="V165" s="1" t="s">
        <v>118</v>
      </c>
      <c r="W165" s="13">
        <v>43.8</v>
      </c>
      <c r="X165" s="13" t="s">
        <v>79</v>
      </c>
      <c r="Y165" s="13" t="s">
        <v>80</v>
      </c>
      <c r="Z165" s="3">
        <v>1.406</v>
      </c>
      <c r="AA165" s="3">
        <v>3</v>
      </c>
      <c r="AB165" s="3">
        <v>0.827</v>
      </c>
      <c r="AC165" s="4">
        <v>3.362</v>
      </c>
      <c r="AD165" s="3">
        <v>15</v>
      </c>
      <c r="AE165" s="3">
        <v>0.833</v>
      </c>
      <c r="AF165" s="5"/>
      <c r="AG165" s="14"/>
      <c r="AH165" s="14"/>
      <c r="AI165" s="14"/>
      <c r="AJ165" s="14"/>
      <c r="AK165" s="14"/>
      <c r="AL165" s="14"/>
      <c r="AM165" s="7">
        <v>38</v>
      </c>
      <c r="AN165" s="15" t="s">
        <v>976</v>
      </c>
      <c r="AO165" s="15" t="s">
        <v>977</v>
      </c>
      <c r="AP165" s="7" t="s">
        <v>122</v>
      </c>
      <c r="AQ165" s="7">
        <v>0.782553</v>
      </c>
      <c r="AR165" s="7">
        <v>120</v>
      </c>
      <c r="AS165" s="7">
        <v>0.454377</v>
      </c>
      <c r="AT165" s="7">
        <v>1.322864</v>
      </c>
      <c r="AU165" s="7">
        <v>3</v>
      </c>
      <c r="AV165" s="7">
        <v>0.930801</v>
      </c>
      <c r="AW165" s="7">
        <v>6.766125</v>
      </c>
      <c r="AX165" s="7">
        <v>48</v>
      </c>
      <c r="AY165" s="7">
        <v>0.977414</v>
      </c>
      <c r="AZ165" s="8"/>
      <c r="BA165" s="1"/>
      <c r="BB165" s="7"/>
      <c r="BC165" s="9" t="s">
        <v>297</v>
      </c>
      <c r="BD165" s="9" t="s">
        <v>126</v>
      </c>
      <c r="BE165" s="10" t="str">
        <f t="shared" si="6"/>
        <v>tropic</v>
      </c>
      <c r="BF165" s="11" t="s">
        <v>1028</v>
      </c>
    </row>
    <row r="166" ht="28.5" spans="1:58">
      <c r="A166">
        <v>191</v>
      </c>
      <c r="B166" t="s">
        <v>978</v>
      </c>
      <c r="C166" t="s">
        <v>981</v>
      </c>
      <c r="D166">
        <v>2025</v>
      </c>
      <c r="E166" s="12" t="s">
        <v>982</v>
      </c>
      <c r="F166" t="s">
        <v>68</v>
      </c>
      <c r="G166">
        <v>31.1823</v>
      </c>
      <c r="H166">
        <v>121.0071</v>
      </c>
      <c r="I166">
        <v>14</v>
      </c>
      <c r="J166" t="s">
        <v>89</v>
      </c>
      <c r="K166" t="s">
        <v>70</v>
      </c>
      <c r="L166" t="s">
        <v>71</v>
      </c>
      <c r="M166" t="s">
        <v>983</v>
      </c>
      <c r="N166" t="s">
        <v>227</v>
      </c>
      <c r="O166" t="s">
        <v>340</v>
      </c>
      <c r="P166" t="s">
        <v>495</v>
      </c>
      <c r="Q166" t="s">
        <v>74</v>
      </c>
      <c r="R166" t="s">
        <v>191</v>
      </c>
      <c r="S166" s="1" t="s">
        <v>984</v>
      </c>
      <c r="T166" s="1" t="s">
        <v>191</v>
      </c>
      <c r="U166" s="1" t="s">
        <v>191</v>
      </c>
      <c r="V166" s="1" t="s">
        <v>191</v>
      </c>
      <c r="W166" s="13">
        <v>40.6</v>
      </c>
      <c r="X166" s="13" t="s">
        <v>79</v>
      </c>
      <c r="Y166" s="13" t="s">
        <v>80</v>
      </c>
      <c r="Z166" s="3">
        <v>6.146</v>
      </c>
      <c r="AA166" s="3">
        <v>11</v>
      </c>
      <c r="AB166" s="3">
        <v>1.558</v>
      </c>
      <c r="AC166" s="4">
        <v>2.818</v>
      </c>
      <c r="AD166" s="3">
        <v>11</v>
      </c>
      <c r="AE166" s="3">
        <v>1.461</v>
      </c>
      <c r="AF166" s="5" t="s">
        <v>81</v>
      </c>
      <c r="AG166" s="14">
        <v>1.444</v>
      </c>
      <c r="AH166" s="14">
        <v>11</v>
      </c>
      <c r="AI166" s="14">
        <v>0.279</v>
      </c>
      <c r="AJ166" s="14">
        <v>0.723</v>
      </c>
      <c r="AK166" s="14">
        <v>11</v>
      </c>
      <c r="AL166" s="14">
        <v>0.43</v>
      </c>
      <c r="AM166" s="7"/>
      <c r="AN166" s="15"/>
      <c r="AO166" s="15"/>
      <c r="AP166" s="7"/>
      <c r="AQ166" s="7"/>
      <c r="AR166" s="7"/>
      <c r="AS166" s="7"/>
      <c r="AT166" s="7"/>
      <c r="AU166" s="7"/>
      <c r="AV166" s="7"/>
      <c r="AW166" s="7"/>
      <c r="AX166" s="7"/>
      <c r="AY166" s="7"/>
      <c r="AZ166" s="8"/>
      <c r="BA166" s="1"/>
      <c r="BB166" s="7"/>
      <c r="BC166" s="9" t="s">
        <v>82</v>
      </c>
      <c r="BD166" s="9" t="s">
        <v>82</v>
      </c>
      <c r="BE166" s="10" t="str">
        <f t="shared" si="6"/>
        <v>subtropic</v>
      </c>
      <c r="BF166" s="11" t="s">
        <v>1028</v>
      </c>
    </row>
    <row r="167" ht="42.75" spans="1:58">
      <c r="A167">
        <v>192</v>
      </c>
      <c r="B167" t="s">
        <v>978</v>
      </c>
      <c r="C167" t="s">
        <v>981</v>
      </c>
      <c r="D167">
        <v>2025</v>
      </c>
      <c r="E167" s="12" t="s">
        <v>982</v>
      </c>
      <c r="F167" t="s">
        <v>68</v>
      </c>
      <c r="G167">
        <v>31.1823</v>
      </c>
      <c r="H167">
        <v>121.0071</v>
      </c>
      <c r="I167">
        <v>14</v>
      </c>
      <c r="J167" t="s">
        <v>89</v>
      </c>
      <c r="K167" t="s">
        <v>70</v>
      </c>
      <c r="L167" t="s">
        <v>71</v>
      </c>
      <c r="M167" t="s">
        <v>983</v>
      </c>
      <c r="N167" t="s">
        <v>227</v>
      </c>
      <c r="O167" t="s">
        <v>340</v>
      </c>
      <c r="P167" t="s">
        <v>495</v>
      </c>
      <c r="Q167" t="s">
        <v>74</v>
      </c>
      <c r="R167" t="s">
        <v>75</v>
      </c>
      <c r="S167" s="1" t="s">
        <v>537</v>
      </c>
      <c r="T167" s="1" t="s">
        <v>172</v>
      </c>
      <c r="U167" s="1" t="s">
        <v>281</v>
      </c>
      <c r="V167" s="1" t="s">
        <v>538</v>
      </c>
      <c r="W167" s="13">
        <v>40.6</v>
      </c>
      <c r="X167" s="13" t="s">
        <v>79</v>
      </c>
      <c r="Y167" s="13" t="s">
        <v>80</v>
      </c>
      <c r="Z167" s="3">
        <v>10.266</v>
      </c>
      <c r="AA167" s="3">
        <v>11</v>
      </c>
      <c r="AB167" s="3">
        <v>2.236</v>
      </c>
      <c r="AC167" s="4">
        <v>5.895</v>
      </c>
      <c r="AD167" s="3">
        <v>11</v>
      </c>
      <c r="AE167" s="3">
        <v>1.331</v>
      </c>
      <c r="AF167" s="5" t="s">
        <v>81</v>
      </c>
      <c r="AG167" s="14">
        <v>1.565</v>
      </c>
      <c r="AH167" s="14">
        <v>11</v>
      </c>
      <c r="AI167" s="14">
        <v>0.222</v>
      </c>
      <c r="AJ167" s="14">
        <v>1.307</v>
      </c>
      <c r="AK167" s="14">
        <v>11</v>
      </c>
      <c r="AL167" s="14">
        <v>0.213</v>
      </c>
      <c r="AM167" s="7"/>
      <c r="AN167" s="15"/>
      <c r="AO167" s="15"/>
      <c r="AP167" s="7"/>
      <c r="AQ167" s="7"/>
      <c r="AR167" s="7"/>
      <c r="AS167" s="7"/>
      <c r="AT167" s="7"/>
      <c r="AU167" s="7"/>
      <c r="AV167" s="7"/>
      <c r="AW167" s="7"/>
      <c r="AX167" s="7"/>
      <c r="AY167" s="7"/>
      <c r="AZ167" s="8"/>
      <c r="BA167" s="1"/>
      <c r="BB167" s="7"/>
      <c r="BC167" s="9" t="s">
        <v>82</v>
      </c>
      <c r="BD167" s="9" t="s">
        <v>82</v>
      </c>
      <c r="BE167" s="10" t="str">
        <f t="shared" si="6"/>
        <v>subtropic</v>
      </c>
      <c r="BF167" s="11" t="s">
        <v>1028</v>
      </c>
    </row>
    <row r="168" ht="42.75" spans="1:58">
      <c r="A168">
        <v>193</v>
      </c>
      <c r="B168" t="s">
        <v>985</v>
      </c>
      <c r="C168" t="s">
        <v>988</v>
      </c>
      <c r="D168">
        <v>2025</v>
      </c>
      <c r="E168" s="12" t="s">
        <v>989</v>
      </c>
      <c r="F168" t="s">
        <v>68</v>
      </c>
      <c r="G168">
        <v>34</v>
      </c>
      <c r="H168">
        <v>115</v>
      </c>
      <c r="I168">
        <v>11</v>
      </c>
      <c r="J168" t="s">
        <v>111</v>
      </c>
      <c r="K168" t="s">
        <v>70</v>
      </c>
      <c r="L168" t="s">
        <v>71</v>
      </c>
      <c r="M168" t="s">
        <v>72</v>
      </c>
      <c r="N168" t="s">
        <v>72</v>
      </c>
      <c r="O168" t="s">
        <v>72</v>
      </c>
      <c r="P168" t="s">
        <v>73</v>
      </c>
      <c r="Q168" t="s">
        <v>74</v>
      </c>
      <c r="R168" t="s">
        <v>75</v>
      </c>
      <c r="S168" s="1" t="s">
        <v>172</v>
      </c>
      <c r="T168" s="1" t="s">
        <v>172</v>
      </c>
      <c r="U168" s="1" t="s">
        <v>172</v>
      </c>
      <c r="V168" s="1" t="s">
        <v>173</v>
      </c>
      <c r="W168" s="13">
        <v>578.6</v>
      </c>
      <c r="X168" s="13" t="s">
        <v>93</v>
      </c>
      <c r="Y168" s="13" t="s">
        <v>94</v>
      </c>
      <c r="Z168" s="3">
        <v>30.939</v>
      </c>
      <c r="AA168" s="3">
        <v>16</v>
      </c>
      <c r="AB168" s="3">
        <v>6.387</v>
      </c>
      <c r="AC168" s="4">
        <v>23.16</v>
      </c>
      <c r="AD168" s="3">
        <v>14</v>
      </c>
      <c r="AE168" s="3">
        <v>4.109</v>
      </c>
      <c r="AF168" s="5" t="s">
        <v>81</v>
      </c>
      <c r="AG168" s="14">
        <v>4.428</v>
      </c>
      <c r="AH168" s="14">
        <v>16</v>
      </c>
      <c r="AI168" s="14">
        <v>1.581</v>
      </c>
      <c r="AJ168" s="14">
        <v>4.751</v>
      </c>
      <c r="AK168" s="14">
        <v>14</v>
      </c>
      <c r="AL168" s="14">
        <v>0.96</v>
      </c>
      <c r="AM168" s="7">
        <v>39</v>
      </c>
      <c r="AN168" s="15" t="s">
        <v>990</v>
      </c>
      <c r="AO168" s="15" t="s">
        <v>991</v>
      </c>
      <c r="AP168" s="7" t="s">
        <v>122</v>
      </c>
      <c r="AQ168" s="7">
        <v>0.264034</v>
      </c>
      <c r="AR168" s="7">
        <v>91</v>
      </c>
      <c r="AS168" s="7">
        <v>0.127801</v>
      </c>
      <c r="AT168" s="7">
        <v>0.263832</v>
      </c>
      <c r="AU168" s="7">
        <v>120</v>
      </c>
      <c r="AV168" s="7">
        <v>0.117987</v>
      </c>
      <c r="AW168" s="7">
        <v>0.421013</v>
      </c>
      <c r="AX168" s="7">
        <v>224</v>
      </c>
      <c r="AY168" s="7">
        <v>0.164299</v>
      </c>
      <c r="AZ168" s="8"/>
      <c r="BA168" s="1"/>
      <c r="BB168" s="7"/>
      <c r="BC168" s="9" t="s">
        <v>82</v>
      </c>
      <c r="BD168" s="9" t="s">
        <v>82</v>
      </c>
      <c r="BE168" s="10" t="str">
        <f t="shared" si="6"/>
        <v>subtropic</v>
      </c>
      <c r="BF168" s="11" t="s">
        <v>1026</v>
      </c>
    </row>
    <row r="169" ht="28.5" spans="1:58">
      <c r="A169">
        <v>194</v>
      </c>
      <c r="B169" t="s">
        <v>985</v>
      </c>
      <c r="C169" t="s">
        <v>988</v>
      </c>
      <c r="D169">
        <v>2025</v>
      </c>
      <c r="E169" s="12" t="s">
        <v>989</v>
      </c>
      <c r="F169" t="s">
        <v>68</v>
      </c>
      <c r="G169">
        <v>34</v>
      </c>
      <c r="H169">
        <v>115</v>
      </c>
      <c r="I169">
        <v>11</v>
      </c>
      <c r="J169" t="s">
        <v>111</v>
      </c>
      <c r="K169" t="s">
        <v>70</v>
      </c>
      <c r="L169" t="s">
        <v>71</v>
      </c>
      <c r="M169" t="s">
        <v>72</v>
      </c>
      <c r="N169" t="s">
        <v>72</v>
      </c>
      <c r="O169" t="s">
        <v>72</v>
      </c>
      <c r="P169" t="s">
        <v>73</v>
      </c>
      <c r="Q169" t="s">
        <v>74</v>
      </c>
      <c r="R169" t="s">
        <v>75</v>
      </c>
      <c r="S169" s="1" t="s">
        <v>344</v>
      </c>
      <c r="T169" s="1" t="s">
        <v>344</v>
      </c>
      <c r="U169" s="1" t="s">
        <v>344</v>
      </c>
      <c r="V169" s="1" t="s">
        <v>344</v>
      </c>
      <c r="W169" s="13">
        <v>578.6</v>
      </c>
      <c r="X169" s="13" t="s">
        <v>93</v>
      </c>
      <c r="Y169" s="13" t="s">
        <v>94</v>
      </c>
      <c r="Z169" s="3">
        <v>40.651</v>
      </c>
      <c r="AA169" s="3">
        <v>16</v>
      </c>
      <c r="AB169" s="3">
        <v>6.265</v>
      </c>
      <c r="AC169" s="4">
        <v>33.94</v>
      </c>
      <c r="AD169" s="3">
        <v>14</v>
      </c>
      <c r="AE169" s="3">
        <v>5.12</v>
      </c>
      <c r="AF169" s="5" t="s">
        <v>81</v>
      </c>
      <c r="AG169" s="14">
        <v>3.939</v>
      </c>
      <c r="AH169" s="14">
        <v>16</v>
      </c>
      <c r="AI169" s="14">
        <v>0.527</v>
      </c>
      <c r="AJ169" s="14">
        <v>3.829</v>
      </c>
      <c r="AK169" s="14">
        <v>14</v>
      </c>
      <c r="AL169" s="14">
        <v>0.359</v>
      </c>
      <c r="AM169" s="7">
        <v>40</v>
      </c>
      <c r="AN169" s="15" t="s">
        <v>990</v>
      </c>
      <c r="AO169" s="15" t="s">
        <v>991</v>
      </c>
      <c r="AP169" s="7" t="s">
        <v>122</v>
      </c>
      <c r="AQ169" s="7">
        <v>0.228544</v>
      </c>
      <c r="AR169" s="7">
        <v>91</v>
      </c>
      <c r="AS169" s="7">
        <v>0.105901</v>
      </c>
      <c r="AT169" s="7">
        <v>0.336071</v>
      </c>
      <c r="AU169" s="7">
        <v>120</v>
      </c>
      <c r="AV169" s="7">
        <v>0.163314</v>
      </c>
      <c r="AW169" s="7">
        <v>0.403553</v>
      </c>
      <c r="AX169" s="7">
        <v>224</v>
      </c>
      <c r="AY169" s="7">
        <v>0.140697</v>
      </c>
      <c r="AZ169" s="8"/>
      <c r="BA169" s="1"/>
      <c r="BB169" s="7"/>
      <c r="BC169" s="9" t="s">
        <v>82</v>
      </c>
      <c r="BD169" s="9" t="s">
        <v>82</v>
      </c>
      <c r="BE169" s="10" t="str">
        <f t="shared" si="6"/>
        <v>subtropic</v>
      </c>
      <c r="BF169" s="11" t="s">
        <v>1026</v>
      </c>
    </row>
    <row r="170" ht="42.75" spans="1:58">
      <c r="A170">
        <v>195</v>
      </c>
      <c r="B170" t="s">
        <v>985</v>
      </c>
      <c r="C170" t="s">
        <v>988</v>
      </c>
      <c r="D170">
        <v>2025</v>
      </c>
      <c r="E170" s="12" t="s">
        <v>989</v>
      </c>
      <c r="F170" t="s">
        <v>68</v>
      </c>
      <c r="G170">
        <v>34</v>
      </c>
      <c r="H170">
        <v>115</v>
      </c>
      <c r="I170">
        <v>11</v>
      </c>
      <c r="J170" t="s">
        <v>111</v>
      </c>
      <c r="K170" t="s">
        <v>70</v>
      </c>
      <c r="L170" t="s">
        <v>71</v>
      </c>
      <c r="M170" t="s">
        <v>72</v>
      </c>
      <c r="N170" t="s">
        <v>72</v>
      </c>
      <c r="O170" t="s">
        <v>72</v>
      </c>
      <c r="P170" t="s">
        <v>73</v>
      </c>
      <c r="Q170" t="s">
        <v>74</v>
      </c>
      <c r="R170" t="s">
        <v>191</v>
      </c>
      <c r="S170" s="1" t="s">
        <v>240</v>
      </c>
      <c r="T170" s="1" t="s">
        <v>240</v>
      </c>
      <c r="U170" s="1" t="s">
        <v>241</v>
      </c>
      <c r="V170" s="1" t="s">
        <v>241</v>
      </c>
      <c r="W170" s="13">
        <v>578.6</v>
      </c>
      <c r="X170" s="13" t="s">
        <v>93</v>
      </c>
      <c r="Y170" s="13" t="s">
        <v>94</v>
      </c>
      <c r="Z170" s="3">
        <v>69.22</v>
      </c>
      <c r="AA170" s="3">
        <v>16</v>
      </c>
      <c r="AB170" s="3">
        <v>17.672</v>
      </c>
      <c r="AC170" s="4">
        <v>60.397</v>
      </c>
      <c r="AD170" s="3">
        <v>14</v>
      </c>
      <c r="AE170" s="3">
        <v>9.918</v>
      </c>
      <c r="AF170" s="5" t="s">
        <v>81</v>
      </c>
      <c r="AG170" s="14">
        <v>8.157</v>
      </c>
      <c r="AH170" s="14">
        <v>16</v>
      </c>
      <c r="AI170" s="14">
        <v>1.46</v>
      </c>
      <c r="AJ170" s="14">
        <v>8.151</v>
      </c>
      <c r="AK170" s="14">
        <v>14</v>
      </c>
      <c r="AL170" s="14">
        <v>1.621</v>
      </c>
      <c r="AM170" s="7">
        <v>41</v>
      </c>
      <c r="AN170" s="15" t="s">
        <v>990</v>
      </c>
      <c r="AO170" s="15" t="s">
        <v>991</v>
      </c>
      <c r="AP170" s="7" t="s">
        <v>122</v>
      </c>
      <c r="AQ170" s="7">
        <v>0.204923</v>
      </c>
      <c r="AR170" s="7">
        <v>91</v>
      </c>
      <c r="AS170" s="7">
        <v>0.092396</v>
      </c>
      <c r="AT170" s="7">
        <v>0.312057</v>
      </c>
      <c r="AU170" s="7">
        <v>105</v>
      </c>
      <c r="AV170" s="7">
        <v>0.155375</v>
      </c>
      <c r="AW170" s="7">
        <v>0.280816</v>
      </c>
      <c r="AX170" s="7">
        <v>210</v>
      </c>
      <c r="AY170" s="7">
        <v>0.139678</v>
      </c>
      <c r="AZ170" s="8"/>
      <c r="BA170" s="1"/>
      <c r="BB170" s="7"/>
      <c r="BC170" s="9" t="s">
        <v>82</v>
      </c>
      <c r="BD170" s="9" t="s">
        <v>82</v>
      </c>
      <c r="BE170" s="10" t="str">
        <f t="shared" si="6"/>
        <v>subtropic</v>
      </c>
      <c r="BF170" s="11" t="s">
        <v>1026</v>
      </c>
    </row>
    <row r="171" spans="1:58">
      <c r="A171">
        <v>196</v>
      </c>
      <c r="B171" t="s">
        <v>992</v>
      </c>
      <c r="C171" t="s">
        <v>995</v>
      </c>
      <c r="D171">
        <v>2025</v>
      </c>
      <c r="E171" s="12" t="s">
        <v>996</v>
      </c>
      <c r="F171" t="s">
        <v>997</v>
      </c>
      <c r="G171">
        <v>27.4781</v>
      </c>
      <c r="H171">
        <v>89.6404</v>
      </c>
      <c r="I171">
        <v>12</v>
      </c>
      <c r="J171" t="s">
        <v>247</v>
      </c>
      <c r="K171" t="s">
        <v>444</v>
      </c>
      <c r="L171" s="27" t="s">
        <v>998</v>
      </c>
      <c r="M171" t="s">
        <v>72</v>
      </c>
      <c r="N171" t="s">
        <v>72</v>
      </c>
      <c r="O171" t="s">
        <v>72</v>
      </c>
      <c r="P171" t="s">
        <v>73</v>
      </c>
      <c r="Q171" t="s">
        <v>74</v>
      </c>
      <c r="R171" t="s">
        <v>191</v>
      </c>
      <c r="S171" s="1" t="s">
        <v>191</v>
      </c>
      <c r="T171" s="1" t="s">
        <v>191</v>
      </c>
      <c r="U171" s="1" t="s">
        <v>191</v>
      </c>
      <c r="V171" s="1" t="s">
        <v>191</v>
      </c>
      <c r="W171" s="13">
        <v>16.6</v>
      </c>
      <c r="X171" s="13" t="s">
        <v>79</v>
      </c>
      <c r="Y171" s="13" t="s">
        <v>80</v>
      </c>
      <c r="Z171" s="3"/>
      <c r="AA171" s="3"/>
      <c r="AB171" s="3"/>
      <c r="AC171" s="4"/>
      <c r="AD171" s="3"/>
      <c r="AE171" s="3"/>
      <c r="AF171" s="5" t="s">
        <v>81</v>
      </c>
      <c r="AG171" s="14">
        <v>3.007</v>
      </c>
      <c r="AH171" s="14">
        <v>4</v>
      </c>
      <c r="AI171" s="14">
        <v>0.429</v>
      </c>
      <c r="AJ171" s="14">
        <v>2.609</v>
      </c>
      <c r="AK171" s="14">
        <v>50</v>
      </c>
      <c r="AL171" s="14">
        <v>0.403</v>
      </c>
      <c r="AM171" s="7">
        <v>42</v>
      </c>
      <c r="AN171" s="15" t="s">
        <v>999</v>
      </c>
      <c r="AO171" s="15" t="s">
        <v>1000</v>
      </c>
      <c r="AP171" s="7" t="s">
        <v>122</v>
      </c>
      <c r="AQ171" s="7">
        <v>1.037648</v>
      </c>
      <c r="AR171" s="7">
        <v>1225</v>
      </c>
      <c r="AS171" s="7">
        <v>0.51073</v>
      </c>
      <c r="AT171" s="7">
        <v>1.180642</v>
      </c>
      <c r="AU171" s="7">
        <v>6</v>
      </c>
      <c r="AV171" s="7">
        <v>0.699434</v>
      </c>
      <c r="AW171" s="7">
        <v>1.903776</v>
      </c>
      <c r="AX171" s="7">
        <v>200</v>
      </c>
      <c r="AY171" s="7">
        <v>0.632606</v>
      </c>
      <c r="AZ171" s="8"/>
      <c r="BA171" s="1"/>
      <c r="BB171" s="7"/>
      <c r="BC171" s="9" t="s">
        <v>1001</v>
      </c>
      <c r="BD171" s="9" t="s">
        <v>126</v>
      </c>
      <c r="BE171" s="10" t="str">
        <f t="shared" si="6"/>
        <v>subtropic</v>
      </c>
      <c r="BF171" s="11" t="s">
        <v>1028</v>
      </c>
    </row>
    <row r="172" ht="28.5" spans="1:58">
      <c r="A172">
        <v>197</v>
      </c>
      <c r="B172" t="s">
        <v>1002</v>
      </c>
      <c r="C172" t="s">
        <v>1005</v>
      </c>
      <c r="D172">
        <v>2025</v>
      </c>
      <c r="E172" s="12" t="s">
        <v>1006</v>
      </c>
      <c r="F172" t="s">
        <v>68</v>
      </c>
      <c r="G172">
        <v>40</v>
      </c>
      <c r="H172">
        <v>116</v>
      </c>
      <c r="I172">
        <v>21</v>
      </c>
      <c r="J172" t="s">
        <v>69</v>
      </c>
      <c r="K172" t="s">
        <v>70</v>
      </c>
      <c r="L172" t="s">
        <v>71</v>
      </c>
      <c r="M172" t="s">
        <v>72</v>
      </c>
      <c r="N172" t="s">
        <v>72</v>
      </c>
      <c r="O172" t="s">
        <v>72</v>
      </c>
      <c r="P172" t="s">
        <v>73</v>
      </c>
      <c r="Q172" t="s">
        <v>74</v>
      </c>
      <c r="R172" t="s">
        <v>90</v>
      </c>
      <c r="S172" s="1" t="s">
        <v>92</v>
      </c>
      <c r="T172" s="1" t="s">
        <v>92</v>
      </c>
      <c r="U172" s="1" t="s">
        <v>92</v>
      </c>
      <c r="V172" s="1" t="s">
        <v>92</v>
      </c>
      <c r="W172" s="13">
        <v>215</v>
      </c>
      <c r="X172" s="13" t="s">
        <v>93</v>
      </c>
      <c r="Y172" s="13" t="s">
        <v>94</v>
      </c>
      <c r="Z172" s="3"/>
      <c r="AA172" s="3"/>
      <c r="AB172" s="3"/>
      <c r="AC172" s="4"/>
      <c r="AD172" s="3"/>
      <c r="AE172" s="3"/>
      <c r="AF172" s="5" t="s">
        <v>81</v>
      </c>
      <c r="AG172" s="14">
        <v>6.725</v>
      </c>
      <c r="AH172" s="14">
        <v>6</v>
      </c>
      <c r="AI172" s="14">
        <v>0.508</v>
      </c>
      <c r="AJ172" s="14">
        <v>6.557</v>
      </c>
      <c r="AK172" s="14">
        <v>6</v>
      </c>
      <c r="AL172" s="14">
        <v>0.555</v>
      </c>
      <c r="AM172" s="7">
        <v>43</v>
      </c>
      <c r="AN172" s="15" t="s">
        <v>1007</v>
      </c>
      <c r="AO172" s="15" t="s">
        <v>1008</v>
      </c>
      <c r="AP172" s="7" t="s">
        <v>97</v>
      </c>
      <c r="AQ172" s="7">
        <v>0.132601</v>
      </c>
      <c r="AR172" s="7">
        <v>15</v>
      </c>
      <c r="AS172" s="7">
        <v>0.064604</v>
      </c>
      <c r="AT172" s="7">
        <v>0.046358</v>
      </c>
      <c r="AU172" s="7">
        <v>15</v>
      </c>
      <c r="AV172" s="7">
        <v>0.024407</v>
      </c>
      <c r="AW172" s="7">
        <v>0.315712</v>
      </c>
      <c r="AX172" s="7">
        <v>36</v>
      </c>
      <c r="AY172" s="7">
        <v>0.078493</v>
      </c>
      <c r="AZ172" s="8"/>
      <c r="BA172" s="1"/>
      <c r="BB172" s="7"/>
      <c r="BC172" s="9" t="s">
        <v>82</v>
      </c>
      <c r="BD172" s="9" t="s">
        <v>82</v>
      </c>
      <c r="BE172" s="10" t="str">
        <f t="shared" si="6"/>
        <v>temperate</v>
      </c>
      <c r="BF172" s="11" t="s">
        <v>1026</v>
      </c>
    </row>
    <row r="173" ht="28.5" spans="1:58">
      <c r="A173">
        <v>198</v>
      </c>
      <c r="B173" t="s">
        <v>1002</v>
      </c>
      <c r="C173" t="s">
        <v>1005</v>
      </c>
      <c r="D173">
        <v>2025</v>
      </c>
      <c r="E173" s="12" t="s">
        <v>1006</v>
      </c>
      <c r="F173" t="s">
        <v>68</v>
      </c>
      <c r="G173">
        <v>40</v>
      </c>
      <c r="H173">
        <v>116</v>
      </c>
      <c r="I173">
        <v>21</v>
      </c>
      <c r="J173" t="s">
        <v>69</v>
      </c>
      <c r="K173" t="s">
        <v>70</v>
      </c>
      <c r="L173" t="s">
        <v>71</v>
      </c>
      <c r="M173" t="s">
        <v>72</v>
      </c>
      <c r="N173" t="s">
        <v>72</v>
      </c>
      <c r="O173" t="s">
        <v>72</v>
      </c>
      <c r="P173" t="s">
        <v>73</v>
      </c>
      <c r="Q173" t="s">
        <v>74</v>
      </c>
      <c r="R173" t="s">
        <v>90</v>
      </c>
      <c r="S173" s="1" t="s">
        <v>92</v>
      </c>
      <c r="T173" s="1" t="s">
        <v>92</v>
      </c>
      <c r="U173" s="1" t="s">
        <v>92</v>
      </c>
      <c r="V173" s="1" t="s">
        <v>92</v>
      </c>
      <c r="W173" s="13">
        <v>215</v>
      </c>
      <c r="X173" s="13" t="s">
        <v>93</v>
      </c>
      <c r="Y173" s="13" t="s">
        <v>94</v>
      </c>
      <c r="Z173" s="3"/>
      <c r="AA173" s="3"/>
      <c r="AB173" s="3"/>
      <c r="AC173" s="4"/>
      <c r="AD173" s="3"/>
      <c r="AE173" s="3"/>
      <c r="AF173" s="5" t="s">
        <v>81</v>
      </c>
      <c r="AG173" s="14">
        <v>6.697</v>
      </c>
      <c r="AH173" s="14">
        <v>6</v>
      </c>
      <c r="AI173" s="14">
        <v>0.823</v>
      </c>
      <c r="AJ173" s="14">
        <v>6.149</v>
      </c>
      <c r="AK173" s="14">
        <v>6</v>
      </c>
      <c r="AL173" s="14">
        <v>0.555</v>
      </c>
      <c r="AM173" s="7">
        <v>44</v>
      </c>
      <c r="AN173" s="15" t="s">
        <v>1010</v>
      </c>
      <c r="AO173" s="15" t="s">
        <v>1011</v>
      </c>
      <c r="AP173" s="7" t="s">
        <v>97</v>
      </c>
      <c r="AQ173" s="7">
        <v>0.163104</v>
      </c>
      <c r="AR173" s="7">
        <v>15</v>
      </c>
      <c r="AS173" s="7">
        <v>0.110909</v>
      </c>
      <c r="AT173" s="7">
        <v>0.059046</v>
      </c>
      <c r="AU173" s="7">
        <v>15</v>
      </c>
      <c r="AV173" s="7">
        <v>0.029604</v>
      </c>
      <c r="AW173" s="7">
        <v>0.357335</v>
      </c>
      <c r="AX173" s="7">
        <v>36</v>
      </c>
      <c r="AY173" s="7">
        <v>0.067649</v>
      </c>
      <c r="AZ173" s="8"/>
      <c r="BA173" s="1"/>
      <c r="BB173" s="7"/>
      <c r="BC173" s="9" t="s">
        <v>82</v>
      </c>
      <c r="BD173" s="9" t="s">
        <v>82</v>
      </c>
      <c r="BE173" s="10" t="str">
        <f t="shared" si="6"/>
        <v>temperate</v>
      </c>
      <c r="BF173" s="11" t="s">
        <v>1026</v>
      </c>
    </row>
    <row r="174" ht="28.5" spans="1:58">
      <c r="A174">
        <v>199</v>
      </c>
      <c r="B174" t="s">
        <v>1002</v>
      </c>
      <c r="C174" t="s">
        <v>1005</v>
      </c>
      <c r="D174">
        <v>2025</v>
      </c>
      <c r="E174" s="12" t="s">
        <v>1006</v>
      </c>
      <c r="F174" t="s">
        <v>68</v>
      </c>
      <c r="G174">
        <v>40</v>
      </c>
      <c r="H174">
        <v>116</v>
      </c>
      <c r="I174">
        <v>21</v>
      </c>
      <c r="J174" t="s">
        <v>69</v>
      </c>
      <c r="K174" t="s">
        <v>70</v>
      </c>
      <c r="L174" t="s">
        <v>71</v>
      </c>
      <c r="M174" t="s">
        <v>72</v>
      </c>
      <c r="N174" t="s">
        <v>72</v>
      </c>
      <c r="O174" t="s">
        <v>72</v>
      </c>
      <c r="P174" t="s">
        <v>73</v>
      </c>
      <c r="Q174" t="s">
        <v>74</v>
      </c>
      <c r="R174" t="s">
        <v>90</v>
      </c>
      <c r="S174" s="1" t="s">
        <v>92</v>
      </c>
      <c r="T174" s="1" t="s">
        <v>92</v>
      </c>
      <c r="U174" s="1" t="s">
        <v>92</v>
      </c>
      <c r="V174" s="1" t="s">
        <v>92</v>
      </c>
      <c r="W174" s="13">
        <v>215</v>
      </c>
      <c r="X174" s="13" t="s">
        <v>93</v>
      </c>
      <c r="Y174" s="13" t="s">
        <v>94</v>
      </c>
      <c r="Z174" s="3"/>
      <c r="AA174" s="3"/>
      <c r="AB174" s="3"/>
      <c r="AC174" s="4"/>
      <c r="AD174" s="3"/>
      <c r="AE174" s="3"/>
      <c r="AF174" s="5" t="s">
        <v>81</v>
      </c>
      <c r="AG174" s="14">
        <v>6.45</v>
      </c>
      <c r="AH174" s="14">
        <v>6</v>
      </c>
      <c r="AI174" s="14">
        <v>0.485</v>
      </c>
      <c r="AJ174" s="14">
        <v>5.334</v>
      </c>
      <c r="AK174" s="14">
        <v>6</v>
      </c>
      <c r="AL174" s="14">
        <v>0.838</v>
      </c>
      <c r="AM174" s="7">
        <v>46</v>
      </c>
      <c r="AN174" s="15" t="s">
        <v>1013</v>
      </c>
      <c r="AO174" s="15" t="s">
        <v>1014</v>
      </c>
      <c r="AP174" s="7" t="s">
        <v>97</v>
      </c>
      <c r="AQ174" s="7">
        <v>0.122478</v>
      </c>
      <c r="AR174" s="7">
        <v>15</v>
      </c>
      <c r="AS174" s="7">
        <v>0.049395</v>
      </c>
      <c r="AT174" s="7">
        <v>0.07668</v>
      </c>
      <c r="AU174" s="7">
        <v>15</v>
      </c>
      <c r="AV174" s="7">
        <v>0.040401</v>
      </c>
      <c r="AW174" s="7">
        <v>0.375135</v>
      </c>
      <c r="AX174" s="7">
        <v>36</v>
      </c>
      <c r="AY174" s="7">
        <v>0.079346</v>
      </c>
      <c r="AZ174" s="8"/>
      <c r="BA174" s="1"/>
      <c r="BB174" s="7"/>
      <c r="BC174" s="9" t="s">
        <v>82</v>
      </c>
      <c r="BD174" s="9" t="s">
        <v>82</v>
      </c>
      <c r="BE174" s="10" t="str">
        <f t="shared" si="6"/>
        <v>temperate</v>
      </c>
      <c r="BF174" s="11" t="s">
        <v>1026</v>
      </c>
    </row>
    <row r="175" ht="42.75" spans="1:58">
      <c r="A175">
        <v>200</v>
      </c>
      <c r="B175" t="s">
        <v>1015</v>
      </c>
      <c r="C175" t="s">
        <v>1018</v>
      </c>
      <c r="D175">
        <v>2025</v>
      </c>
      <c r="E175" s="12" t="s">
        <v>1019</v>
      </c>
      <c r="F175" t="s">
        <v>68</v>
      </c>
      <c r="G175">
        <v>31.33</v>
      </c>
      <c r="H175">
        <v>120.66</v>
      </c>
      <c r="I175">
        <v>14</v>
      </c>
      <c r="J175" t="s">
        <v>89</v>
      </c>
      <c r="K175" t="s">
        <v>70</v>
      </c>
      <c r="L175" t="s">
        <v>71</v>
      </c>
      <c r="M175" t="s">
        <v>72</v>
      </c>
      <c r="N175" t="s">
        <v>72</v>
      </c>
      <c r="O175" t="s">
        <v>72</v>
      </c>
      <c r="P175" t="s">
        <v>73</v>
      </c>
      <c r="Q175" t="s">
        <v>74</v>
      </c>
      <c r="R175" t="s">
        <v>75</v>
      </c>
      <c r="S175" s="1" t="s">
        <v>172</v>
      </c>
      <c r="T175" s="1" t="s">
        <v>172</v>
      </c>
      <c r="U175" s="1" t="s">
        <v>172</v>
      </c>
      <c r="V175" s="1" t="s">
        <v>173</v>
      </c>
      <c r="W175" s="13">
        <v>46</v>
      </c>
      <c r="X175" s="13" t="s">
        <v>79</v>
      </c>
      <c r="Y175" s="13" t="s">
        <v>80</v>
      </c>
      <c r="Z175" s="3">
        <v>2.22</v>
      </c>
      <c r="AA175" s="3">
        <v>28</v>
      </c>
      <c r="AB175" s="3">
        <v>0.872</v>
      </c>
      <c r="AC175" s="4">
        <v>0.699</v>
      </c>
      <c r="AD175" s="3">
        <v>25</v>
      </c>
      <c r="AE175" s="3">
        <v>0.426</v>
      </c>
      <c r="AF175" s="5"/>
      <c r="AG175" s="14"/>
      <c r="AH175" s="14"/>
      <c r="AI175" s="14"/>
      <c r="AJ175" s="14"/>
      <c r="AK175" s="14"/>
      <c r="AL175" s="14"/>
      <c r="AM175" s="7"/>
      <c r="AN175" s="15"/>
      <c r="AO175" s="15"/>
      <c r="AP175" s="7"/>
      <c r="AQ175" s="7"/>
      <c r="AR175" s="7"/>
      <c r="AS175" s="7"/>
      <c r="AT175" s="7"/>
      <c r="AU175" s="7"/>
      <c r="AV175" s="7"/>
      <c r="AW175" s="7"/>
      <c r="AX175" s="7"/>
      <c r="AY175" s="7"/>
      <c r="AZ175" s="8"/>
      <c r="BA175" s="1"/>
      <c r="BB175" s="7"/>
      <c r="BC175" s="9" t="s">
        <v>82</v>
      </c>
      <c r="BD175" s="9" t="s">
        <v>82</v>
      </c>
      <c r="BE175" s="10" t="str">
        <f t="shared" si="6"/>
        <v>subtropic</v>
      </c>
      <c r="BF175" s="11" t="s">
        <v>1026</v>
      </c>
    </row>
    <row r="176" ht="71.25" spans="1:58">
      <c r="A176">
        <v>201</v>
      </c>
      <c r="B176" t="s">
        <v>1020</v>
      </c>
      <c r="C176" t="s">
        <v>1023</v>
      </c>
      <c r="D176">
        <v>2025</v>
      </c>
      <c r="E176" s="17" t="s">
        <v>1024</v>
      </c>
      <c r="F176" t="s">
        <v>276</v>
      </c>
      <c r="G176">
        <v>40.3252</v>
      </c>
      <c r="H176">
        <v>-111.6428</v>
      </c>
      <c r="I176">
        <v>25</v>
      </c>
      <c r="J176" t="s">
        <v>216</v>
      </c>
      <c r="K176" t="s">
        <v>182</v>
      </c>
      <c r="L176" t="s">
        <v>183</v>
      </c>
      <c r="M176" t="s">
        <v>72</v>
      </c>
      <c r="N176" t="s">
        <v>72</v>
      </c>
      <c r="O176" t="s">
        <v>72</v>
      </c>
      <c r="P176" t="s">
        <v>73</v>
      </c>
      <c r="Q176" t="s">
        <v>74</v>
      </c>
      <c r="R176" t="s">
        <v>90</v>
      </c>
      <c r="S176" s="1" t="s">
        <v>1025</v>
      </c>
      <c r="T176" s="1" t="s">
        <v>227</v>
      </c>
      <c r="U176" s="1" t="s">
        <v>227</v>
      </c>
      <c r="V176" s="1" t="s">
        <v>227</v>
      </c>
      <c r="W176" s="13">
        <v>15</v>
      </c>
      <c r="X176" s="13" t="s">
        <v>79</v>
      </c>
      <c r="Y176" s="13" t="s">
        <v>80</v>
      </c>
      <c r="Z176" s="3">
        <v>58.565</v>
      </c>
      <c r="AA176" s="3">
        <v>9</v>
      </c>
      <c r="AB176" s="3">
        <v>22.005</v>
      </c>
      <c r="AC176" s="4">
        <v>10.114</v>
      </c>
      <c r="AD176" s="3">
        <v>5</v>
      </c>
      <c r="AE176" s="3">
        <v>4.564</v>
      </c>
      <c r="AF176" s="5" t="s">
        <v>81</v>
      </c>
      <c r="AG176" s="14">
        <v>1.983</v>
      </c>
      <c r="AH176" s="14">
        <v>10</v>
      </c>
      <c r="AI176" s="14">
        <v>0.943</v>
      </c>
      <c r="AJ176" s="14">
        <v>0.794</v>
      </c>
      <c r="AK176" s="14">
        <v>5</v>
      </c>
      <c r="AL176" s="14">
        <v>0.664</v>
      </c>
      <c r="AM176" s="7"/>
      <c r="AN176" s="15"/>
      <c r="AO176" s="15"/>
      <c r="AP176" s="7"/>
      <c r="AQ176" s="7"/>
      <c r="AR176" s="7"/>
      <c r="AS176" s="7"/>
      <c r="AT176" s="7"/>
      <c r="AU176" s="7"/>
      <c r="AV176" s="7"/>
      <c r="AW176" s="7"/>
      <c r="AX176" s="7"/>
      <c r="AY176" s="7"/>
      <c r="AZ176" s="8"/>
      <c r="BA176" s="1"/>
      <c r="BB176" s="7"/>
      <c r="BC176" s="9" t="s">
        <v>82</v>
      </c>
      <c r="BD176" s="9" t="s">
        <v>82</v>
      </c>
      <c r="BE176" s="10" t="str">
        <f t="shared" si="6"/>
        <v>temperate</v>
      </c>
      <c r="BF176" s="11" t="s">
        <v>1026</v>
      </c>
    </row>
  </sheetData>
  <hyperlinks>
    <hyperlink ref="E2" r:id="rId1" display="http://dx.doi.org/10.3389/fevo.2024.1479231" tooltip="http://dx.doi.org/10.3389/fevo.2024.1479231"/>
    <hyperlink ref="E25" r:id="rId2" display="http://dx.doi.org/10.7773/cm.y2023.3355"/>
    <hyperlink ref="E41" r:id="rId3" display="http://dx.doi.org/10.1016/j.ecohyd.2021.08.006"/>
    <hyperlink ref="E90" r:id="rId4" display="http://dx.doi.org/10.3390/d11060086" tooltip="http://dx.doi.org/10.3390/d11060086"/>
    <hyperlink ref="E125" r:id="rId5" display="http://dx.doi.org/10.1016/j.scitotenv.2015.07.066"/>
    <hyperlink ref="E4" r:id="rId6" display="http://dx.doi.org/10.1007/s10750-025-05805-5"/>
    <hyperlink ref="E6" r:id="rId7" display="http://dx.doi.org/10.1016/j.ecolind.2024.112938"/>
    <hyperlink ref="E8" r:id="rId8" display="http://dx.doi.org/10.3390/su17010231"/>
    <hyperlink ref="E12" r:id="rId9" display="http://dx.doi.org/10.1016/j.jenvman.2024.123937"/>
    <hyperlink ref="E13" r:id="rId10" display="http://dx.doi.org/10.1007/s00027-024-01129-z"/>
    <hyperlink ref="E14" r:id="rId11" display="http://dx.doi.org/10.1007/s11252-023-01501-1"/>
    <hyperlink ref="E16" r:id="rId12" display="http://dx.doi.org/10.1016/j.scitotenv.2023.168178"/>
    <hyperlink ref="E18" r:id="rId13" display="http://dx.doi.org/10.1007/s11252-024-01540-2"/>
    <hyperlink ref="E19" r:id="rId14" display="http://dx.doi.org/10.3390/w16233467"/>
    <hyperlink ref="E20" r:id="rId15" display="http://dx.doi.org/10.1016/j.watres.2024.121480"/>
    <hyperlink ref="E26" r:id="rId16" display="http://dx.doi.org/10.1007/s10841-022-00453-9"/>
    <hyperlink ref="E27" r:id="rId17" display="http://dx.doi.org/10.1002/eap.2828"/>
    <hyperlink ref="E32" r:id="rId18" display="http://dx.doi.org/10.1016/j.limno.2023.126082"/>
    <hyperlink ref="E34" r:id="rId19" display="http://dx.doi.org/10.1007/s10750-022-05130-1"/>
    <hyperlink ref="E39" r:id="rId20" display="http://dx.doi.org/10.3389/fevo.2023.1121400"/>
    <hyperlink ref="E40" r:id="rId21" display="http://dx.doi.org/10.1016/j.ecolind.2023.110991"/>
    <hyperlink ref="E49" r:id="rId22" display="http://dx.doi.org/10.1007/s11252-022-01238-3"/>
    <hyperlink ref="E53" r:id="rId23" display="http://dx.doi.org/10.1016/j.scitotenv.2021.151974"/>
    <hyperlink ref="E54" r:id="rId24" display="http://dx.doi.org/10.1088/1748-9326/ac444f"/>
    <hyperlink ref="E55" r:id="rId25" display="http://dx.doi.org/10.1007/s11252-021-01174-8"/>
    <hyperlink ref="E57" r:id="rId26" display="http://dx.doi.org/10.1016/j.jes.2021.05.001"/>
    <hyperlink ref="E58" r:id="rId27" display="http://dx.doi.org/10.1007/s00027-021-00832-5"/>
    <hyperlink ref="E60" r:id="rId28" display="http://dx.doi.org/10.1016/j.scitotenv.2022.153940" tooltip="http://dx.doi.org/10.1016/j.scitotenv.2022.153940"/>
    <hyperlink ref="E61" r:id="rId29" display="http://dx.doi.org/10.1007/s11252-022-01248-1"/>
    <hyperlink ref="E62" r:id="rId30" display="http://dx.doi.org/10.3390/w14233793"/>
    <hyperlink ref="E63" r:id="rId31" display="http://dx.doi.org/10.1002/lno.12179"/>
    <hyperlink ref="E65" r:id="rId32" display="http://dx.doi.org/10.1080/02757540.2022.2094918"/>
    <hyperlink ref="E66" r:id="rId33" display="http://dx.doi.org/10.1016/j.ecolind.2020.106944"/>
    <hyperlink ref="E67" r:id="rId34" display="http://dx.doi.org/10.1111/avsc.12550"/>
    <hyperlink ref="E69" r:id="rId35" display="http://dx.doi.org/10.1590/1676-0611-BN-2020-1122"/>
    <hyperlink ref="E72" r:id="rId36" display="http://dx.doi.org/10.1051/limn/2021010"/>
    <hyperlink ref="E73" r:id="rId37" display="http://dx.doi.org/10.38201/btha.abc.v51.i1.4"/>
    <hyperlink ref="E74" r:id="rId38" display="http://dx.doi.org/10.1007/s11356-021-13867-w"/>
    <hyperlink ref="E75" r:id="rId39" display="http://dx.doi.org/10.1007/s10750-021-04657-z"/>
    <hyperlink ref="E78" r:id="rId40" display="http://dx.doi.org/10.3390/w12030698"/>
    <hyperlink ref="E79" r:id="rId41" display="http://dx.doi.org/10.1007/s10531-020-01977-9"/>
    <hyperlink ref="E80" r:id="rId42" display="http://dx.doi.org/10.1155/2020/8653486"/>
    <hyperlink ref="E82" r:id="rId43" display="http://dx.doi.org/10.1371/journal.pone.0234303"/>
    <hyperlink ref="E83" r:id="rId44" display="http://dx.doi.org/10.1590/0001-3765202020190476"/>
    <hyperlink ref="E84" r:id="rId45" display="http://dx.doi.org/10.1016/j.ecss.2020.106729"/>
    <hyperlink ref="E86" r:id="rId46" display="http://dx.doi.org/10.1007/s13157-020-01317-1"/>
    <hyperlink ref="E87" r:id="rId47" display="http://dx.doi.org/10.3390/w12113111"/>
    <hyperlink ref="E89" r:id="rId48" display="http://dx.doi.org/10.1007/s11252-020-01012-3"/>
    <hyperlink ref="E21" r:id="rId15" display="http://dx.doi.org/10.1016/j.watres.2024.121480"/>
    <hyperlink ref="E22" r:id="rId15" display="http://dx.doi.org/10.1016/j.watres.2024.121480"/>
    <hyperlink ref="E42" r:id="rId3" display="http://dx.doi.org/10.1016/j.ecohyd.2021.08.006"/>
    <hyperlink ref="E43" r:id="rId3" display="http://dx.doi.org/10.1016/j.ecohyd.2021.08.006"/>
    <hyperlink ref="E44" r:id="rId3" display="http://dx.doi.org/10.1016/j.ecohyd.2021.08.006"/>
    <hyperlink ref="E45" r:id="rId3" display="http://dx.doi.org/10.1016/j.ecohyd.2021.08.006"/>
    <hyperlink ref="E46" r:id="rId3" display="http://dx.doi.org/10.1016/j.ecohyd.2021.08.006"/>
    <hyperlink ref="E64" r:id="rId31" display="http://dx.doi.org/10.1002/lno.12179"/>
    <hyperlink ref="E91" r:id="rId49" display="http://dx.doi.org/10.1007/s11252-019-00862-w"/>
    <hyperlink ref="E92" r:id="rId50" display="http://dx.doi.org/10.26028/cybium/2019-433-005"/>
    <hyperlink ref="E93" r:id="rId51" display="http://dx.doi.org/10.1186/s13717-019-0196-2"/>
    <hyperlink ref="E95" r:id="rId52" display="http://dx.doi.org/10.1007/s12526-018-0883-8"/>
    <hyperlink ref="E96" r:id="rId53" display="http://dx.doi.org/10.1086/706072"/>
    <hyperlink ref="E97" r:id="rId54" display="http://dx.doi.org/10.1016/j.ecolind.2019.01.063"/>
    <hyperlink ref="E98" r:id="rId55" display="http://dx.doi.org/10.2984/73.3.1"/>
    <hyperlink ref="E99" r:id="rId56" display="http://dx.doi.org/10.1007/s00027-019-0655-y"/>
    <hyperlink ref="E100" r:id="rId57" display="http://dx.doi.org/10.1007/s11252-018-0802-6"/>
    <hyperlink ref="E101" r:id="rId58" display="http://dx.doi.org/10.3390/w11091930"/>
    <hyperlink ref="E103" r:id="rId59" display="http://dx.doi.org/10.1007/s11270-018-4054-0"/>
    <hyperlink ref="E104" r:id="rId60" display="http://dx.doi.org/10.1016/j.scitotenv.2017.10.068" tooltip="http://dx.doi.org/10.1016/j.scitotenv.2017.10.068"/>
    <hyperlink ref="E105" r:id="rId61" display="http://dx.doi.org/10.1016/j.scitotenv.2018.01.231"/>
    <hyperlink ref="E106" r:id="rId62" display="http://dx.doi.org/10.1007/s12237-017-0347-6"/>
    <hyperlink ref="E107" r:id="rId63" display="http://dx.doi.org/10.1007/s11270-018-3688-2" tooltip="http://dx.doi.org/10.1007/s11270-018-3688-2"/>
    <hyperlink ref="E108" r:id="rId64" display="http://dx.doi.org/10.5735/086.054.0504"/>
    <hyperlink ref="E109" r:id="rId65" display="http://dx.doi.org/10.1007/s10531-016-1286-4"/>
    <hyperlink ref="E111" r:id="rId66" display="http://dx.doi.org/10.1007/s13157-017-0902-8" tooltip="http://dx.doi.org/10.1007/s13157-017-0902-8"/>
    <hyperlink ref="E112" r:id="rId67" display="http://dx.doi.org/10.1086/686614"/>
    <hyperlink ref="E113" r:id="rId68" display="http://dx.doi.org/10.1007/s11252-015-0490-4"/>
    <hyperlink ref="E114" r:id="rId69" display="http://dx.doi.org/10.1590/1519-6984.03515"/>
    <hyperlink ref="E118" r:id="rId70" display="http://dx.doi.org/10.1016/j.ecolind.2015.06.039"/>
    <hyperlink ref="E119" r:id="rId71" display="http://dx.doi.org/10.1093/jme/tjw045"/>
    <hyperlink ref="E120" r:id="rId72" display="http://dx.doi.org/10.1007/s10750-016-2727-5"/>
    <hyperlink ref="E122" r:id="rId73" display="http://dx.doi.org/10.1007/s10750-015-2443-6"/>
    <hyperlink ref="E123" r:id="rId74" display="http://dx.doi.org/10.1002/rra.3031"/>
    <hyperlink ref="E124" r:id="rId75" display="http://dx.doi.org/10.1007/s40333-016-0084-x"/>
    <hyperlink ref="E127" r:id="rId76" display="http://dx.doi.org/10.1007/s10531-015-0990-9"/>
    <hyperlink ref="E126" r:id="rId5" display="http://dx.doi.org/10.1016/j.scitotenv.2015.07.066"/>
    <hyperlink ref="E128" r:id="rId76" display="http://dx.doi.org/10.1007/s10531-015-0990-9"/>
    <hyperlink ref="E129" r:id="rId77" display="http://dx.doi.org/10.1086/681252"/>
    <hyperlink ref="E130" r:id="rId78" display="http://dx.doi.org/10.3389/fmicb.2015.01028" tooltip="http://dx.doi.org/10.3389/fmicb.2015.01028"/>
    <hyperlink ref="E131" r:id="rId79" display="http://dx.doi.org/10.1016/j.envpol.2014.09.017"/>
    <hyperlink ref="E132" r:id="rId80" display="http://dx.doi.org/10.1371/journal.pone.0124807"/>
    <hyperlink ref="E133" r:id="rId81" display="http://dx.doi.org/10.1590/1519-6984.03914"/>
    <hyperlink ref="E153" r:id="rId82" display="http://dx.doi.org/10.1111/j.1523-1739.2005.00101.x"/>
    <hyperlink ref="E152" r:id="rId83" display="http://dx.doi.org/10.1016/j.biocon.2005.11.008" tooltip="http://dx.doi.org/10.1016/j.biocon.2005.11.008"/>
    <hyperlink ref="E149" r:id="rId84" display="http://dx.doi.org/10.1111/j.1366-9516.2005.00226.x"/>
    <hyperlink ref="E148" r:id="rId85" display="http://dx.doi.org/10.1007/s10980-006-9012-3"/>
    <hyperlink ref="E147" r:id="rId86" display="http://dx.doi.org/10.1577/M06-186.1"/>
    <hyperlink ref="E145" r:id="rId87" display="http://dx.doi.org/10.1007/s10452-009-9307-y"/>
    <hyperlink ref="E146" r:id="rId88" display="http://dx.doi.org/10.1007/s10750-010-0320-x"/>
    <hyperlink ref="E143" r:id="rId87" display="http://dx.doi.org/10.1007/s10452-009-9307-y"/>
    <hyperlink ref="E144" r:id="rId87" display="http://dx.doi.org/10.1007/s10452-009-9307-y"/>
    <hyperlink ref="E134" r:id="rId89" display="http://dx.doi.org/10.1007/s11252-014-0352-5" tooltip="http://dx.doi.org/10.1007/s11252-014-0352-5"/>
    <hyperlink ref="E135" r:id="rId90" display="http://dx.doi.org/10.1127/fal/2014/0612"/>
    <hyperlink ref="E136" r:id="rId91" display="http://dx.doi.org/10.1111/1365-2664.12022"/>
    <hyperlink ref="E138" r:id="rId92" display="http://dx.doi.org/10.1007/s10641-012-0024-3"/>
    <hyperlink ref="E139" r:id="rId93" display="http://dx.doi.org/10.1590/S1679-62252012000300018"/>
    <hyperlink ref="E140" r:id="rId94" display="http://dx.doi.org/10.1007/s11252-011-0217-0"/>
    <hyperlink ref="E137" r:id="rId91" display="http://dx.doi.org/10.1111/1365-2664.12022"/>
    <hyperlink ref="E142" r:id="rId95" display="http://dx.doi.org/10.1080/02757540.2011.575374"/>
    <hyperlink ref="E35" r:id="rId19" display="http://dx.doi.org/10.1007/s10750-022-05130-1"/>
    <hyperlink ref="E36" r:id="rId19" display="http://dx.doi.org/10.1007/s10750-022-05130-1"/>
    <hyperlink ref="E37" r:id="rId19" display="http://dx.doi.org/10.1007/s10750-022-05130-1"/>
    <hyperlink ref="E38" r:id="rId19" display="http://dx.doi.org/10.1007/s10750-022-05130-1"/>
    <hyperlink ref="E50" r:id="rId22" display="http://dx.doi.org/10.1007/s11252-022-01238-3"/>
    <hyperlink ref="E68" r:id="rId35" display="http://dx.doi.org/10.1590/1676-0611-BN-2020-1122"/>
    <hyperlink ref="E110" r:id="rId65" display="http://dx.doi.org/10.1007/s10531-016-1286-4"/>
    <hyperlink ref="E115" r:id="rId96" display="http://dx.doi.org/10.1016/j.biocon.2016.08.014"/>
    <hyperlink ref="E116" r:id="rId96" display="http://dx.doi.org/10.1016/j.biocon.2016.08.014"/>
    <hyperlink ref="E156" r:id="rId97" display="https://doi.org/10.1007/s11252-025-01808-1"/>
    <hyperlink ref="E157" r:id="rId98" display="https://doi.org/10.1186/s12862-025-02390-y"/>
    <hyperlink ref="E158" r:id="rId98" display="https://doi.org/10.1186/s12862-025-02390-y"/>
    <hyperlink ref="E159" r:id="rId99" display="https://doi.org/10.1016/j.ecoenv.2025.118930"/>
    <hyperlink ref="E160" r:id="rId99" display="https://doi.org/10.1016/j.ecoenv.2025.118930"/>
    <hyperlink ref="E161" r:id="rId100" display="https://doi.org/10.1093/cz/zoaf024"/>
    <hyperlink ref="E162" r:id="rId101" display="https://doi.org/10.1016/j.ecolind.2025.114259"/>
    <hyperlink ref="E164" r:id="rId102" display="https://doi.org/10.3390/d17090642"/>
    <hyperlink ref="E163" r:id="rId103" display="https://doi.org/10.1007/s11252-025-01844-x"/>
    <hyperlink ref="E165" r:id="rId104" display="https://doi.org/10.1016/j.ecolind.2025.113907"/>
    <hyperlink ref="E166" r:id="rId105" display="https://doi.org/10.34133/ehs.0450"/>
    <hyperlink ref="E167" r:id="rId105" display="https://doi.org/10.34133/ehs.0450"/>
    <hyperlink ref="E168" r:id="rId106" display="https://doi.org/10.1016/j.ecolind.2025.114363"/>
    <hyperlink ref="E169" r:id="rId106" display="https://doi.org/10.1016/j.ecolind.2025.114363"/>
    <hyperlink ref="E170" r:id="rId106" display="https://doi.org/10.1016/j.ecolind.2025.114363"/>
    <hyperlink ref="E171" r:id="rId107" display="https://doi.org/10.1016/j.ufug.2025.128862"/>
    <hyperlink ref="E172" r:id="rId108" display="https://doi.org/10.1016/j.jenvman.2025.127190"/>
    <hyperlink ref="E175" r:id="rId109" display="https://doi.org/10.1002/lno.70221"/>
    <hyperlink ref="E176" r:id="rId110" display="https://doi.org/10.1080/00275514.2025.2462525"/>
    <hyperlink ref="E23" r:id="rId111" display="http://dx.doi.org/10.1016/j.ecolind.2024.111706"/>
    <hyperlink ref="E30" r:id="rId17" display="http://dx.doi.org/10.1002/eap.2828"/>
    <hyperlink ref="E31" r:id="rId17" display="http://dx.doi.org/10.1002/eap.2828"/>
    <hyperlink ref="E56" r:id="rId112" display="http://dx.doi.org/10.1016/j.ecolind.2022.109441"/>
    <hyperlink ref="E71" r:id="rId113" display="http://dx.doi.org/10.1016/j.baae.2021.09.005"/>
    <hyperlink ref="E88" r:id="rId114" display="http://dx.doi.org/10.1016/j.ecolind.2020.106506"/>
    <hyperlink ref="E33" r:id="rId19" display="http://dx.doi.org/10.1007/s10750-022-05130-1"/>
    <hyperlink ref="E9" r:id="rId115" display="http://dx.doi.org/10.1007/s00027-025-01162-6" tooltip="http://dx.doi.org/10.1007/s00027-025-01162-6"/>
    <hyperlink ref="E10" r:id="rId115" display="http://dx.doi.org/10.1007/s00027-025-01162-6" tooltip="http://dx.doi.org/10.1007/s00027-025-01162-6"/>
    <hyperlink ref="E11" r:id="rId115" display="http://dx.doi.org/10.1007/s00027-025-01162-6" tooltip="http://dx.doi.org/10.1007/s00027-025-01162-6"/>
    <hyperlink ref="E5" r:id="rId6" display="http://dx.doi.org/10.1007/s10750-025-05805-5"/>
    <hyperlink ref="E3" r:id="rId6" display="http://dx.doi.org/10.1007/s10750-025-05805-5"/>
    <hyperlink ref="E7" r:id="rId7" display="http://dx.doi.org/10.1016/j.ecolind.2024.112938"/>
    <hyperlink ref="E48" r:id="rId116" display="http://dx.doi.org/10.3390/ani12040473"/>
    <hyperlink ref="E81" r:id="rId117" display="http://dx.doi.org/10.1016/j.ecolind.2019.105899"/>
    <hyperlink ref="E94" r:id="rId51" display="http://dx.doi.org/10.1186/s13717-019-0196-2"/>
    <hyperlink ref="E102" r:id="rId58" display="http://dx.doi.org/10.3390/w11091930"/>
    <hyperlink ref="E117" r:id="rId96" display="http://dx.doi.org/10.1016/j.biocon.2016.08.014"/>
    <hyperlink ref="E121" r:id="rId72" display="http://dx.doi.org/10.1007/s10750-016-2727-5"/>
    <hyperlink ref="E141" r:id="rId118" display="http://dx.doi.org/10.1002/iroh.201111297"/>
    <hyperlink ref="E173" r:id="rId108" display="https://doi.org/10.1016/j.jenvman.2025.127190"/>
    <hyperlink ref="E174" r:id="rId108" display="https://doi.org/10.1016/j.jenvman.2025.127190"/>
    <hyperlink ref="E17" r:id="rId12" display="http://dx.doi.org/10.1016/j.scitotenv.2023.168178"/>
    <hyperlink ref="E76" r:id="rId119" display="http://dx.doi.org/10.3389/fmars.2021.670288"/>
    <hyperlink ref="E77" r:id="rId119" display="http://dx.doi.org/10.3389/fmars.2021.670288"/>
    <hyperlink ref="E85" r:id="rId45" display="http://dx.doi.org/10.1016/j.ecss.2020.106729"/>
    <hyperlink ref="E28" r:id="rId17" display="http://dx.doi.org/10.1002/eap.2828"/>
    <hyperlink ref="E29" r:id="rId17" display="http://dx.doi.org/10.1002/eap.2828"/>
    <hyperlink ref="E24" r:id="rId120" display="http://dx.doi.org/10.3390/d15040486"/>
    <hyperlink ref="E15" r:id="rId121" display="http://dx.doi.org/10.1007/s13157-024-01878-5"/>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1048576"/>
  <sheetViews>
    <sheetView workbookViewId="0">
      <selection activeCell="E45" sqref="E45:E49"/>
    </sheetView>
  </sheetViews>
  <sheetFormatPr defaultColWidth="9" defaultRowHeight="14.25" outlineLevelCol="6"/>
  <cols>
    <col min="6" max="6" width="9" style="1"/>
  </cols>
  <sheetData>
    <row r="1" ht="42.75" spans="1:7">
      <c r="A1" t="s">
        <v>1</v>
      </c>
      <c r="B1" t="s">
        <v>2</v>
      </c>
      <c r="C1" t="s">
        <v>3</v>
      </c>
      <c r="D1" t="s">
        <v>20</v>
      </c>
      <c r="E1" s="1" t="s">
        <v>21</v>
      </c>
      <c r="F1" s="1" t="s">
        <v>22</v>
      </c>
      <c r="G1" s="1" t="s">
        <v>23</v>
      </c>
    </row>
    <row r="2" hidden="1" spans="1:7">
      <c r="A2" t="s">
        <v>63</v>
      </c>
      <c r="B2" t="s">
        <v>64</v>
      </c>
      <c r="C2" t="s">
        <v>65</v>
      </c>
      <c r="D2" t="s">
        <v>75</v>
      </c>
      <c r="E2" s="1" t="s">
        <v>76</v>
      </c>
      <c r="F2" s="1" t="s">
        <v>77</v>
      </c>
      <c r="G2" s="1" t="s">
        <v>76</v>
      </c>
    </row>
    <row r="3" hidden="1" spans="1:7">
      <c r="A3" t="s">
        <v>130</v>
      </c>
      <c r="B3" t="s">
        <v>131</v>
      </c>
      <c r="C3" t="s">
        <v>132</v>
      </c>
      <c r="D3" t="s">
        <v>75</v>
      </c>
      <c r="E3" s="1" t="s">
        <v>117</v>
      </c>
      <c r="F3" s="1" t="s">
        <v>77</v>
      </c>
      <c r="G3" s="1" t="s">
        <v>117</v>
      </c>
    </row>
    <row r="4" hidden="1" spans="1:7">
      <c r="A4" t="s">
        <v>140</v>
      </c>
      <c r="B4" t="s">
        <v>141</v>
      </c>
      <c r="C4" t="s">
        <v>142</v>
      </c>
      <c r="D4" t="s">
        <v>75</v>
      </c>
      <c r="E4" s="1" t="s">
        <v>117</v>
      </c>
      <c r="F4" s="1" t="s">
        <v>77</v>
      </c>
      <c r="G4" s="1" t="s">
        <v>117</v>
      </c>
    </row>
    <row r="5" hidden="1" spans="1:7">
      <c r="A5" t="s">
        <v>140</v>
      </c>
      <c r="B5" t="s">
        <v>141</v>
      </c>
      <c r="C5" t="s">
        <v>154</v>
      </c>
      <c r="D5" t="s">
        <v>75</v>
      </c>
      <c r="E5" s="1" t="s">
        <v>117</v>
      </c>
      <c r="F5" s="1" t="s">
        <v>77</v>
      </c>
      <c r="G5" s="1" t="s">
        <v>117</v>
      </c>
    </row>
    <row r="6" hidden="1" spans="1:7">
      <c r="A6" t="s">
        <v>140</v>
      </c>
      <c r="B6" t="s">
        <v>141</v>
      </c>
      <c r="C6" t="s">
        <v>156</v>
      </c>
      <c r="D6" t="s">
        <v>75</v>
      </c>
      <c r="E6" s="1" t="s">
        <v>117</v>
      </c>
      <c r="F6" s="1" t="s">
        <v>77</v>
      </c>
      <c r="G6" s="1" t="s">
        <v>117</v>
      </c>
    </row>
    <row r="7" ht="28.5" hidden="1" spans="1:7">
      <c r="A7" t="s">
        <v>175</v>
      </c>
      <c r="B7" t="s">
        <v>176</v>
      </c>
      <c r="C7" t="s">
        <v>177</v>
      </c>
      <c r="D7" t="s">
        <v>75</v>
      </c>
      <c r="E7" s="1" t="s">
        <v>184</v>
      </c>
      <c r="F7" s="1" t="s">
        <v>77</v>
      </c>
      <c r="G7" s="1" t="s">
        <v>172</v>
      </c>
    </row>
    <row r="8" hidden="1" spans="1:7">
      <c r="A8" t="s">
        <v>194</v>
      </c>
      <c r="B8" t="s">
        <v>195</v>
      </c>
      <c r="C8" t="s">
        <v>196</v>
      </c>
      <c r="D8" t="s">
        <v>75</v>
      </c>
      <c r="E8" s="1" t="s">
        <v>117</v>
      </c>
      <c r="F8" s="1" t="s">
        <v>77</v>
      </c>
      <c r="G8" s="1" t="s">
        <v>117</v>
      </c>
    </row>
    <row r="9" ht="28.5" hidden="1" spans="1:7">
      <c r="A9" t="s">
        <v>210</v>
      </c>
      <c r="B9" t="s">
        <v>211</v>
      </c>
      <c r="C9" t="s">
        <v>212</v>
      </c>
      <c r="D9" t="s">
        <v>191</v>
      </c>
      <c r="E9" s="1" t="s">
        <v>220</v>
      </c>
      <c r="F9" s="1" t="s">
        <v>77</v>
      </c>
      <c r="G9" s="1" t="s">
        <v>191</v>
      </c>
    </row>
    <row r="10" spans="1:7">
      <c r="A10" t="s">
        <v>232</v>
      </c>
      <c r="B10" t="s">
        <v>233</v>
      </c>
      <c r="C10" t="s">
        <v>234</v>
      </c>
      <c r="D10" t="s">
        <v>90</v>
      </c>
      <c r="E10" s="1" t="s">
        <v>238</v>
      </c>
      <c r="F10" s="1" t="s">
        <v>239</v>
      </c>
      <c r="G10" s="1" t="s">
        <v>240</v>
      </c>
    </row>
    <row r="11" ht="28.5" hidden="1" spans="1:7">
      <c r="A11" t="s">
        <v>260</v>
      </c>
      <c r="B11" t="s">
        <v>261</v>
      </c>
      <c r="C11" t="s">
        <v>262</v>
      </c>
      <c r="D11" t="s">
        <v>75</v>
      </c>
      <c r="E11" s="1" t="s">
        <v>270</v>
      </c>
      <c r="F11" s="1" t="s">
        <v>77</v>
      </c>
      <c r="G11" s="1" t="s">
        <v>172</v>
      </c>
    </row>
    <row r="12" hidden="1" spans="1:7">
      <c r="A12" t="s">
        <v>334</v>
      </c>
      <c r="B12" t="s">
        <v>335</v>
      </c>
      <c r="C12" t="s">
        <v>336</v>
      </c>
      <c r="D12" t="s">
        <v>75</v>
      </c>
      <c r="E12" s="1" t="s">
        <v>76</v>
      </c>
      <c r="F12" s="1" t="s">
        <v>77</v>
      </c>
      <c r="G12" s="1" t="s">
        <v>76</v>
      </c>
    </row>
    <row r="13" ht="28.5" hidden="1" spans="1:7">
      <c r="A13" t="s">
        <v>334</v>
      </c>
      <c r="B13" t="s">
        <v>335</v>
      </c>
      <c r="C13" t="s">
        <v>336</v>
      </c>
      <c r="D13" t="s">
        <v>90</v>
      </c>
      <c r="E13" s="1" t="s">
        <v>342</v>
      </c>
      <c r="F13" s="1" t="s">
        <v>77</v>
      </c>
      <c r="G13" s="1" t="s">
        <v>240</v>
      </c>
    </row>
    <row r="14" hidden="1" spans="1:7">
      <c r="A14" t="s">
        <v>334</v>
      </c>
      <c r="B14" t="s">
        <v>335</v>
      </c>
      <c r="C14" t="s">
        <v>336</v>
      </c>
      <c r="D14" t="s">
        <v>75</v>
      </c>
      <c r="E14" s="1" t="s">
        <v>117</v>
      </c>
      <c r="F14" s="1" t="s">
        <v>77</v>
      </c>
      <c r="G14" s="1" t="s">
        <v>117</v>
      </c>
    </row>
    <row r="15" ht="28.5" hidden="1" spans="1:7">
      <c r="A15" t="s">
        <v>334</v>
      </c>
      <c r="B15" t="s">
        <v>335</v>
      </c>
      <c r="C15" t="s">
        <v>336</v>
      </c>
      <c r="D15" t="s">
        <v>75</v>
      </c>
      <c r="E15" s="1" t="s">
        <v>344</v>
      </c>
      <c r="F15" s="1" t="s">
        <v>77</v>
      </c>
      <c r="G15" s="1" t="s">
        <v>344</v>
      </c>
    </row>
    <row r="16" ht="28.5" hidden="1" spans="1:7">
      <c r="A16" t="s">
        <v>334</v>
      </c>
      <c r="B16" t="s">
        <v>335</v>
      </c>
      <c r="C16" t="s">
        <v>336</v>
      </c>
      <c r="D16" t="s">
        <v>90</v>
      </c>
      <c r="E16" s="1" t="s">
        <v>345</v>
      </c>
      <c r="F16" s="1" t="s">
        <v>77</v>
      </c>
      <c r="G16" s="1" t="s">
        <v>240</v>
      </c>
    </row>
    <row r="17" hidden="1" spans="1:7">
      <c r="A17" t="s">
        <v>346</v>
      </c>
      <c r="B17" t="s">
        <v>347</v>
      </c>
      <c r="C17" t="s">
        <v>348</v>
      </c>
      <c r="D17" t="s">
        <v>75</v>
      </c>
      <c r="E17" s="1" t="s">
        <v>76</v>
      </c>
      <c r="F17" s="1" t="s">
        <v>77</v>
      </c>
      <c r="G17" s="1" t="s">
        <v>76</v>
      </c>
    </row>
    <row r="18" ht="28.5" spans="1:7">
      <c r="A18" t="s">
        <v>383</v>
      </c>
      <c r="B18" t="s">
        <v>384</v>
      </c>
      <c r="C18" t="s">
        <v>385</v>
      </c>
      <c r="D18" t="s">
        <v>75</v>
      </c>
      <c r="E18" s="1" t="s">
        <v>389</v>
      </c>
      <c r="F18" s="1" t="s">
        <v>239</v>
      </c>
      <c r="G18" s="1" t="s">
        <v>284</v>
      </c>
    </row>
    <row r="19" hidden="1" spans="1:7">
      <c r="A19" t="s">
        <v>392</v>
      </c>
      <c r="B19" t="s">
        <v>393</v>
      </c>
      <c r="C19" t="s">
        <v>394</v>
      </c>
      <c r="D19" t="s">
        <v>75</v>
      </c>
      <c r="E19" s="1" t="s">
        <v>117</v>
      </c>
      <c r="F19" s="1" t="s">
        <v>77</v>
      </c>
      <c r="G19" s="1" t="s">
        <v>117</v>
      </c>
    </row>
    <row r="20" ht="42.75" hidden="1" spans="1:7">
      <c r="A20" t="s">
        <v>438</v>
      </c>
      <c r="B20" t="s">
        <v>439</v>
      </c>
      <c r="C20" t="s">
        <v>440</v>
      </c>
      <c r="D20" t="s">
        <v>75</v>
      </c>
      <c r="E20" s="1" t="s">
        <v>333</v>
      </c>
      <c r="F20" s="1" t="s">
        <v>77</v>
      </c>
      <c r="G20" s="1" t="s">
        <v>172</v>
      </c>
    </row>
    <row r="21" ht="28.5" hidden="1" spans="1:7">
      <c r="A21" t="s">
        <v>461</v>
      </c>
      <c r="B21" t="s">
        <v>462</v>
      </c>
      <c r="C21" t="s">
        <v>463</v>
      </c>
      <c r="D21" t="s">
        <v>75</v>
      </c>
      <c r="E21" s="1" t="s">
        <v>467</v>
      </c>
      <c r="F21" s="1" t="s">
        <v>77</v>
      </c>
      <c r="G21" s="1" t="s">
        <v>172</v>
      </c>
    </row>
    <row r="22" ht="28.5" hidden="1" spans="1:7">
      <c r="A22" t="s">
        <v>461</v>
      </c>
      <c r="B22" t="s">
        <v>462</v>
      </c>
      <c r="C22" t="s">
        <v>463</v>
      </c>
      <c r="D22" t="s">
        <v>75</v>
      </c>
      <c r="E22" s="1" t="s">
        <v>470</v>
      </c>
      <c r="F22" s="1" t="s">
        <v>77</v>
      </c>
      <c r="G22" s="1" t="s">
        <v>172</v>
      </c>
    </row>
    <row r="23" ht="28.5" hidden="1" spans="1:7">
      <c r="A23" t="s">
        <v>471</v>
      </c>
      <c r="B23" t="s">
        <v>472</v>
      </c>
      <c r="C23" t="s">
        <v>473</v>
      </c>
      <c r="D23" t="s">
        <v>75</v>
      </c>
      <c r="E23" s="1" t="s">
        <v>172</v>
      </c>
      <c r="F23" s="1" t="s">
        <v>77</v>
      </c>
      <c r="G23" s="1" t="s">
        <v>172</v>
      </c>
    </row>
    <row r="24" hidden="1" spans="1:7">
      <c r="A24" t="s">
        <v>488</v>
      </c>
      <c r="B24" t="s">
        <v>489</v>
      </c>
      <c r="C24" t="s">
        <v>490</v>
      </c>
      <c r="D24" t="s">
        <v>191</v>
      </c>
      <c r="E24" s="1" t="s">
        <v>191</v>
      </c>
      <c r="F24" s="1" t="s">
        <v>77</v>
      </c>
      <c r="G24" s="1" t="s">
        <v>191</v>
      </c>
    </row>
    <row r="25" hidden="1" spans="1:7">
      <c r="A25" t="s">
        <v>501</v>
      </c>
      <c r="B25" t="s">
        <v>502</v>
      </c>
      <c r="C25" t="s">
        <v>503</v>
      </c>
      <c r="D25" t="s">
        <v>75</v>
      </c>
      <c r="E25" s="1" t="s">
        <v>117</v>
      </c>
      <c r="F25" s="1" t="s">
        <v>77</v>
      </c>
      <c r="G25" s="1" t="s">
        <v>117</v>
      </c>
    </row>
    <row r="26" spans="1:7">
      <c r="A26" t="s">
        <v>506</v>
      </c>
      <c r="B26" t="s">
        <v>507</v>
      </c>
      <c r="C26" t="s">
        <v>508</v>
      </c>
      <c r="D26" t="s">
        <v>75</v>
      </c>
      <c r="E26" s="1" t="s">
        <v>76</v>
      </c>
      <c r="F26" s="1" t="s">
        <v>239</v>
      </c>
      <c r="G26" s="1" t="s">
        <v>76</v>
      </c>
    </row>
    <row r="27" ht="28.5" spans="1:7">
      <c r="A27" t="s">
        <v>506</v>
      </c>
      <c r="B27" t="s">
        <v>507</v>
      </c>
      <c r="C27" t="s">
        <v>508</v>
      </c>
      <c r="D27" t="s">
        <v>75</v>
      </c>
      <c r="E27" s="1" t="s">
        <v>516</v>
      </c>
      <c r="F27" s="1" t="s">
        <v>239</v>
      </c>
      <c r="G27" s="1" t="s">
        <v>284</v>
      </c>
    </row>
    <row r="28" spans="1:7">
      <c r="A28" t="s">
        <v>547</v>
      </c>
      <c r="B28" t="s">
        <v>548</v>
      </c>
      <c r="C28" t="s">
        <v>549</v>
      </c>
      <c r="D28" t="s">
        <v>75</v>
      </c>
      <c r="E28" s="1" t="s">
        <v>117</v>
      </c>
      <c r="F28" s="1" t="s">
        <v>239</v>
      </c>
      <c r="G28" s="1" t="s">
        <v>117</v>
      </c>
    </row>
    <row r="29" ht="28.5" spans="1:7">
      <c r="A29" t="s">
        <v>557</v>
      </c>
      <c r="B29" t="s">
        <v>558</v>
      </c>
      <c r="C29" t="s">
        <v>559</v>
      </c>
      <c r="D29" t="s">
        <v>75</v>
      </c>
      <c r="E29" s="1" t="s">
        <v>564</v>
      </c>
      <c r="F29" s="1" t="s">
        <v>239</v>
      </c>
      <c r="G29" s="1" t="s">
        <v>172</v>
      </c>
    </row>
    <row r="30" spans="1:7">
      <c r="A30" t="s">
        <v>557</v>
      </c>
      <c r="B30" t="s">
        <v>558</v>
      </c>
      <c r="C30" t="s">
        <v>559</v>
      </c>
      <c r="D30" t="s">
        <v>75</v>
      </c>
      <c r="E30" s="1" t="s">
        <v>117</v>
      </c>
      <c r="F30" s="1" t="s">
        <v>239</v>
      </c>
      <c r="G30" s="1" t="s">
        <v>117</v>
      </c>
    </row>
    <row r="31" ht="28.5" spans="1:7">
      <c r="A31" t="s">
        <v>596</v>
      </c>
      <c r="B31" t="s">
        <v>597</v>
      </c>
      <c r="C31" t="s">
        <v>598</v>
      </c>
      <c r="D31" t="s">
        <v>75</v>
      </c>
      <c r="E31" s="1" t="s">
        <v>284</v>
      </c>
      <c r="F31" s="1" t="s">
        <v>239</v>
      </c>
      <c r="G31" s="1" t="s">
        <v>284</v>
      </c>
    </row>
    <row r="32" spans="1:7">
      <c r="A32" t="s">
        <v>601</v>
      </c>
      <c r="B32" t="s">
        <v>602</v>
      </c>
      <c r="C32" t="s">
        <v>603</v>
      </c>
      <c r="D32" t="s">
        <v>75</v>
      </c>
      <c r="E32" s="1" t="s">
        <v>117</v>
      </c>
      <c r="F32" s="1" t="s">
        <v>239</v>
      </c>
      <c r="G32" s="1" t="s">
        <v>117</v>
      </c>
    </row>
    <row r="33" ht="28.5" spans="1:7">
      <c r="A33" t="s">
        <v>613</v>
      </c>
      <c r="B33" t="s">
        <v>614</v>
      </c>
      <c r="C33" t="s">
        <v>615</v>
      </c>
      <c r="D33" t="s">
        <v>75</v>
      </c>
      <c r="E33" s="1" t="s">
        <v>618</v>
      </c>
      <c r="F33" s="1" t="s">
        <v>239</v>
      </c>
      <c r="G33" s="1" t="s">
        <v>172</v>
      </c>
    </row>
    <row r="34" hidden="1" spans="1:7">
      <c r="A34" t="s">
        <v>627</v>
      </c>
      <c r="B34" t="s">
        <v>628</v>
      </c>
      <c r="C34" t="s">
        <v>629</v>
      </c>
      <c r="D34" t="s">
        <v>75</v>
      </c>
      <c r="E34" s="1" t="s">
        <v>117</v>
      </c>
      <c r="F34" s="1" t="s">
        <v>77</v>
      </c>
      <c r="G34" s="1" t="s">
        <v>117</v>
      </c>
    </row>
    <row r="35" ht="42.75" hidden="1" spans="1:7">
      <c r="A35" t="s">
        <v>678</v>
      </c>
      <c r="B35" t="s">
        <v>679</v>
      </c>
      <c r="C35" t="s">
        <v>680</v>
      </c>
      <c r="D35" t="s">
        <v>75</v>
      </c>
      <c r="E35" s="1" t="s">
        <v>683</v>
      </c>
      <c r="F35" s="1" t="s">
        <v>77</v>
      </c>
      <c r="G35" s="1" t="s">
        <v>172</v>
      </c>
    </row>
    <row r="36" ht="28.5" spans="1:7">
      <c r="A36" t="s">
        <v>696</v>
      </c>
      <c r="B36" t="s">
        <v>697</v>
      </c>
      <c r="C36" t="s">
        <v>698</v>
      </c>
      <c r="D36" t="s">
        <v>75</v>
      </c>
      <c r="E36" s="1" t="s">
        <v>172</v>
      </c>
      <c r="F36" s="1" t="s">
        <v>239</v>
      </c>
      <c r="G36" s="1" t="s">
        <v>172</v>
      </c>
    </row>
    <row r="37" ht="28.5" hidden="1" spans="1:7">
      <c r="A37" t="s">
        <v>712</v>
      </c>
      <c r="B37" t="s">
        <v>713</v>
      </c>
      <c r="C37" t="s">
        <v>714</v>
      </c>
      <c r="D37" t="s">
        <v>75</v>
      </c>
      <c r="E37" s="1" t="s">
        <v>717</v>
      </c>
      <c r="F37" s="1" t="s">
        <v>77</v>
      </c>
      <c r="G37" s="1" t="s">
        <v>172</v>
      </c>
    </row>
    <row r="38" ht="28.5" hidden="1" spans="1:7">
      <c r="A38" t="s">
        <v>712</v>
      </c>
      <c r="B38" t="s">
        <v>713</v>
      </c>
      <c r="C38" t="s">
        <v>714</v>
      </c>
      <c r="D38" t="s">
        <v>75</v>
      </c>
      <c r="E38" s="1" t="s">
        <v>717</v>
      </c>
      <c r="F38" s="1" t="s">
        <v>77</v>
      </c>
      <c r="G38" s="1" t="s">
        <v>172</v>
      </c>
    </row>
    <row r="39" ht="28.5" hidden="1" spans="1:7">
      <c r="A39" t="s">
        <v>720</v>
      </c>
      <c r="B39" t="s">
        <v>721</v>
      </c>
      <c r="C39" t="s">
        <v>722</v>
      </c>
      <c r="D39" t="s">
        <v>191</v>
      </c>
      <c r="E39" s="1" t="s">
        <v>220</v>
      </c>
      <c r="F39" s="1" t="s">
        <v>77</v>
      </c>
      <c r="G39" s="1" t="s">
        <v>191</v>
      </c>
    </row>
    <row r="40" hidden="1" spans="1:7">
      <c r="A40" t="s">
        <v>736</v>
      </c>
      <c r="B40" t="s">
        <v>737</v>
      </c>
      <c r="C40" t="s">
        <v>738</v>
      </c>
      <c r="D40" t="s">
        <v>90</v>
      </c>
      <c r="E40" s="1" t="s">
        <v>238</v>
      </c>
      <c r="F40" s="1" t="s">
        <v>77</v>
      </c>
      <c r="G40" s="1" t="s">
        <v>240</v>
      </c>
    </row>
    <row r="41" ht="57" hidden="1" spans="1:7">
      <c r="A41" t="s">
        <v>741</v>
      </c>
      <c r="B41" t="s">
        <v>742</v>
      </c>
      <c r="C41" t="s">
        <v>743</v>
      </c>
      <c r="D41" t="s">
        <v>75</v>
      </c>
      <c r="E41" s="1" t="s">
        <v>746</v>
      </c>
      <c r="F41" s="1" t="s">
        <v>77</v>
      </c>
      <c r="G41" s="1" t="s">
        <v>172</v>
      </c>
    </row>
    <row r="42" hidden="1" spans="1:7">
      <c r="A42" t="s">
        <v>769</v>
      </c>
      <c r="B42" t="s">
        <v>770</v>
      </c>
      <c r="C42" t="s">
        <v>771</v>
      </c>
      <c r="D42" t="s">
        <v>191</v>
      </c>
      <c r="E42" s="1" t="s">
        <v>191</v>
      </c>
      <c r="F42" s="1" t="s">
        <v>77</v>
      </c>
      <c r="G42" s="1" t="s">
        <v>191</v>
      </c>
    </row>
    <row r="43" ht="28.5" spans="1:7">
      <c r="A43" t="s">
        <v>814</v>
      </c>
      <c r="B43" t="s">
        <v>815</v>
      </c>
      <c r="C43" t="s">
        <v>816</v>
      </c>
      <c r="D43" t="s">
        <v>75</v>
      </c>
      <c r="E43" s="1" t="s">
        <v>819</v>
      </c>
      <c r="F43" s="1" t="s">
        <v>239</v>
      </c>
      <c r="G43" s="1" t="s">
        <v>172</v>
      </c>
    </row>
    <row r="44" hidden="1" spans="1:7">
      <c r="A44" t="s">
        <v>825</v>
      </c>
      <c r="B44" t="s">
        <v>826</v>
      </c>
      <c r="C44" t="s">
        <v>827</v>
      </c>
      <c r="D44" t="s">
        <v>75</v>
      </c>
      <c r="E44" s="1" t="s">
        <v>117</v>
      </c>
      <c r="F44" s="1" t="s">
        <v>77</v>
      </c>
      <c r="G44" s="1" t="s">
        <v>117</v>
      </c>
    </row>
    <row r="45" spans="1:7">
      <c r="A45" t="s">
        <v>843</v>
      </c>
      <c r="B45" t="s">
        <v>844</v>
      </c>
      <c r="C45" t="s">
        <v>845</v>
      </c>
      <c r="D45" t="s">
        <v>75</v>
      </c>
      <c r="E45" s="1" t="s">
        <v>117</v>
      </c>
      <c r="F45" s="1" t="s">
        <v>239</v>
      </c>
      <c r="G45" s="1" t="s">
        <v>117</v>
      </c>
    </row>
    <row r="46" spans="1:7">
      <c r="A46" t="s">
        <v>843</v>
      </c>
      <c r="B46" t="s">
        <v>844</v>
      </c>
      <c r="C46" t="s">
        <v>845</v>
      </c>
      <c r="D46" t="s">
        <v>75</v>
      </c>
      <c r="E46" s="1" t="s">
        <v>117</v>
      </c>
      <c r="F46" s="1" t="s">
        <v>239</v>
      </c>
      <c r="G46" s="1" t="s">
        <v>117</v>
      </c>
    </row>
    <row r="47" hidden="1" spans="1:7">
      <c r="A47" t="s">
        <v>849</v>
      </c>
      <c r="B47" t="s">
        <v>850</v>
      </c>
      <c r="C47" t="s">
        <v>851</v>
      </c>
      <c r="D47" t="s">
        <v>75</v>
      </c>
      <c r="E47" s="1" t="s">
        <v>117</v>
      </c>
      <c r="F47" s="1" t="s">
        <v>77</v>
      </c>
      <c r="G47" s="1" t="s">
        <v>117</v>
      </c>
    </row>
    <row r="48" spans="1:7">
      <c r="A48" t="s">
        <v>861</v>
      </c>
      <c r="B48" t="s">
        <v>862</v>
      </c>
      <c r="C48" t="s">
        <v>863</v>
      </c>
      <c r="D48" t="s">
        <v>75</v>
      </c>
      <c r="E48" s="1" t="s">
        <v>117</v>
      </c>
      <c r="F48" s="1" t="s">
        <v>239</v>
      </c>
      <c r="G48" s="1" t="s">
        <v>117</v>
      </c>
    </row>
    <row r="49" spans="1:7">
      <c r="A49" t="s">
        <v>861</v>
      </c>
      <c r="B49" t="s">
        <v>862</v>
      </c>
      <c r="C49" t="s">
        <v>863</v>
      </c>
      <c r="D49" t="s">
        <v>75</v>
      </c>
      <c r="E49" s="1" t="s">
        <v>117</v>
      </c>
      <c r="F49" s="1" t="s">
        <v>239</v>
      </c>
      <c r="G49" s="1" t="s">
        <v>117</v>
      </c>
    </row>
    <row r="50" hidden="1" spans="1:7">
      <c r="A50" t="s">
        <v>886</v>
      </c>
      <c r="B50" t="s">
        <v>887</v>
      </c>
      <c r="C50" t="s">
        <v>888</v>
      </c>
      <c r="D50" t="s">
        <v>75</v>
      </c>
      <c r="E50" s="1" t="s">
        <v>117</v>
      </c>
      <c r="F50" s="1" t="s">
        <v>77</v>
      </c>
      <c r="G50" s="1" t="s">
        <v>117</v>
      </c>
    </row>
    <row r="51" spans="1:7">
      <c r="A51" t="s">
        <v>928</v>
      </c>
      <c r="B51" t="s">
        <v>929</v>
      </c>
      <c r="C51" t="s">
        <v>930</v>
      </c>
      <c r="D51" t="s">
        <v>75</v>
      </c>
      <c r="E51" s="1" t="s">
        <v>76</v>
      </c>
      <c r="F51" s="1" t="s">
        <v>239</v>
      </c>
      <c r="G51" s="1" t="s">
        <v>76</v>
      </c>
    </row>
    <row r="52" hidden="1" spans="1:7">
      <c r="A52" t="s">
        <v>933</v>
      </c>
      <c r="B52" t="s">
        <v>934</v>
      </c>
      <c r="C52" t="s">
        <v>935</v>
      </c>
      <c r="D52" t="s">
        <v>75</v>
      </c>
      <c r="E52" s="1" t="s">
        <v>76</v>
      </c>
      <c r="F52" s="1" t="s">
        <v>77</v>
      </c>
      <c r="G52" s="1" t="s">
        <v>76</v>
      </c>
    </row>
    <row r="53" hidden="1" spans="1:7">
      <c r="A53" t="s">
        <v>933</v>
      </c>
      <c r="B53" t="s">
        <v>934</v>
      </c>
      <c r="C53" t="s">
        <v>935</v>
      </c>
      <c r="D53" t="s">
        <v>75</v>
      </c>
      <c r="E53" s="1" t="s">
        <v>941</v>
      </c>
      <c r="F53" s="1" t="s">
        <v>77</v>
      </c>
      <c r="G53" s="1" t="s">
        <v>227</v>
      </c>
    </row>
    <row r="54" ht="28.5" hidden="1" spans="1:7">
      <c r="A54" t="s">
        <v>962</v>
      </c>
      <c r="B54" t="s">
        <v>963</v>
      </c>
      <c r="C54" t="s">
        <v>964</v>
      </c>
      <c r="D54" t="s">
        <v>75</v>
      </c>
      <c r="E54" s="1" t="s">
        <v>618</v>
      </c>
      <c r="F54" s="1" t="s">
        <v>77</v>
      </c>
      <c r="G54" s="1" t="s">
        <v>172</v>
      </c>
    </row>
    <row r="55" hidden="1" spans="1:7">
      <c r="A55" t="s">
        <v>971</v>
      </c>
      <c r="B55" t="s">
        <v>972</v>
      </c>
      <c r="C55" t="s">
        <v>973</v>
      </c>
      <c r="D55" t="s">
        <v>75</v>
      </c>
      <c r="E55" s="1" t="s">
        <v>117</v>
      </c>
      <c r="F55" s="1" t="s">
        <v>77</v>
      </c>
      <c r="G55" s="1" t="s">
        <v>117</v>
      </c>
    </row>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xmlns:etc="http://www.wps.cn/officeDocument/2017/etCustomData" ref="F1:F55" etc:filterBottomFollowUsedRange="0">
    <filterColumn colId="0">
      <customFilters>
        <customFilter operator="equal" val="yesyes"/>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D2" sqref="D2"/>
    </sheetView>
  </sheetViews>
  <sheetFormatPr defaultColWidth="9" defaultRowHeight="14.25" outlineLevelCol="3"/>
  <cols>
    <col min="3" max="3" width="21.5" customWidth="1"/>
  </cols>
  <sheetData>
    <row r="1" spans="1:4">
      <c r="A1" t="s">
        <v>23</v>
      </c>
      <c r="B1" t="s">
        <v>1031</v>
      </c>
    </row>
    <row r="2" spans="1:4">
      <c r="A2" t="s">
        <v>117</v>
      </c>
      <c r="B2">
        <v>20</v>
      </c>
      <c r="C2">
        <v>20</v>
      </c>
      <c r="D2" t="s">
        <v>1032</v>
      </c>
    </row>
    <row r="3" spans="1:4">
      <c r="A3" t="s">
        <v>172</v>
      </c>
      <c r="B3">
        <v>15</v>
      </c>
      <c r="C3" t="s">
        <v>1033</v>
      </c>
      <c r="D3" t="s">
        <v>1034</v>
      </c>
    </row>
    <row r="4" spans="1:4">
      <c r="A4" t="s">
        <v>76</v>
      </c>
      <c r="B4">
        <v>6</v>
      </c>
      <c r="C4">
        <v>6</v>
      </c>
      <c r="D4" t="s">
        <v>1035</v>
      </c>
    </row>
    <row r="5" spans="1:4">
      <c r="A5" t="s">
        <v>191</v>
      </c>
      <c r="B5">
        <v>4</v>
      </c>
      <c r="C5">
        <v>4</v>
      </c>
      <c r="D5">
        <v>0</v>
      </c>
    </row>
    <row r="6" spans="1:4">
      <c r="A6" t="s">
        <v>240</v>
      </c>
      <c r="B6">
        <v>4</v>
      </c>
    </row>
    <row r="7" spans="1:4">
      <c r="A7" t="s">
        <v>284</v>
      </c>
      <c r="B7">
        <v>3</v>
      </c>
      <c r="C7">
        <v>3</v>
      </c>
      <c r="D7" t="s">
        <v>1036</v>
      </c>
    </row>
    <row r="8" spans="1:4">
      <c r="A8" t="s">
        <v>344</v>
      </c>
      <c r="B8">
        <v>1</v>
      </c>
    </row>
    <row r="9" spans="1:4">
      <c r="A9" t="s">
        <v>227</v>
      </c>
      <c r="B9">
        <v>1</v>
      </c>
      <c r="C9" t="s">
        <v>1037</v>
      </c>
      <c r="D9">
        <v>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all_human_relevant_full_info</vt:lpstr>
      <vt:lpstr>无季节重复</vt:lpstr>
      <vt:lpstr>Sheet2</vt:lpstr>
      <vt:lpstr>筛选分析-taxa_grouped (计数)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桃酥酥酥酥酥酥</cp:lastModifiedBy>
  <dcterms:created xsi:type="dcterms:W3CDTF">2025-03-19T02:49:00Z</dcterms:created>
  <dcterms:modified xsi:type="dcterms:W3CDTF">2026-05-29T09:08:21Z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CC62DEEE2F004B7CB3CF6ED5EB2CCCB9_12</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ies>
</file>